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in2016\ShareFolder\Data Privileged\MANI\DSA\Module-02\"/>
    </mc:Choice>
  </mc:AlternateContent>
  <xr:revisionPtr revIDLastSave="0" documentId="13_ncr:1_{41DDB4E3-6ED1-4EFB-A7F0-BAA40D048ED8}" xr6:coauthVersionLast="47" xr6:coauthVersionMax="47" xr10:uidLastSave="{00000000-0000-0000-0000-000000000000}"/>
  <bookViews>
    <workbookView xWindow="-120" yWindow="-120" windowWidth="29040" windowHeight="15720" activeTab="7" xr2:uid="{00000000-000D-0000-FFFF-FFFF00000000}"/>
  </bookViews>
  <sheets>
    <sheet name="QUEST_01" sheetId="1" r:id="rId1"/>
    <sheet name="QUEST_02" sheetId="2" r:id="rId2"/>
    <sheet name="QUEST_03" sheetId="3" r:id="rId3"/>
    <sheet name="QUEST_04" sheetId="4" r:id="rId4"/>
    <sheet name="QUEST_05" sheetId="5" r:id="rId5"/>
    <sheet name="QUEST_06" sheetId="6" r:id="rId6"/>
    <sheet name="QUEST_07" sheetId="7" r:id="rId7"/>
    <sheet name="QUEST_08" sheetId="8" r:id="rId8"/>
  </sheets>
  <definedNames>
    <definedName name="_xlchart.v1.0" hidden="1">QUEST_02!$A$1:$A$100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A4" i="2" l="1"/>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2" i="2"/>
  <c r="A3"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1" i="2"/>
  <c r="R8" i="1"/>
  <c r="N24" i="1"/>
</calcChain>
</file>

<file path=xl/sharedStrings.xml><?xml version="1.0" encoding="utf-8"?>
<sst xmlns="http://schemas.openxmlformats.org/spreadsheetml/2006/main" count="203" uniqueCount="150">
  <si>
    <t>QUEST. NO.1</t>
  </si>
  <si>
    <t>Ans:</t>
  </si>
  <si>
    <t>Simulate 30 rolls with =RANDBETWEEN(1,6). What is the probability of rolling a 3 exactly 5 times? (Hint: Use BINOM.DIST)</t>
  </si>
  <si>
    <t>Define the scenario</t>
  </si>
  <si>
    <t>We roll a fair die 30 times.</t>
  </si>
  <si>
    <r>
      <t xml:space="preserve">Probability of rolling a </t>
    </r>
    <r>
      <rPr>
        <b/>
        <sz val="11"/>
        <color theme="1"/>
        <rFont val="Calibri"/>
        <family val="2"/>
        <scheme val="minor"/>
      </rPr>
      <t>3</t>
    </r>
    <r>
      <rPr>
        <sz val="11"/>
        <color theme="1"/>
        <rFont val="Calibri"/>
        <family val="2"/>
        <scheme val="minor"/>
      </rPr>
      <t xml:space="preserve"> on any single roll = 1/6</t>
    </r>
  </si>
  <si>
    <r>
      <t xml:space="preserve">We want the probability of rolling </t>
    </r>
    <r>
      <rPr>
        <b/>
        <sz val="11"/>
        <color theme="1"/>
        <rFont val="Calibri"/>
        <family val="2"/>
        <scheme val="minor"/>
      </rPr>
      <t>exactly 5 threes</t>
    </r>
    <r>
      <rPr>
        <sz val="11"/>
        <color theme="1"/>
        <rFont val="Calibri"/>
        <family val="2"/>
        <scheme val="minor"/>
      </rPr>
      <t>.</t>
    </r>
  </si>
  <si>
    <t>Binomial formula</t>
  </si>
  <si>
    <t>n=30n = 30 (number of rolls)</t>
  </si>
  <si>
    <t>k=5k = 5 (number of times we want a 3)</t>
  </si>
  <si>
    <t>p=1/6(probability of rolling a 3)</t>
  </si>
  <si>
    <t>Excel function</t>
  </si>
  <si>
    <t>=BINOM.DIST(5, 30, 1/6, FALSE)</t>
  </si>
  <si>
    <r>
      <t>5</t>
    </r>
    <r>
      <rPr>
        <sz val="11"/>
        <color theme="1"/>
        <rFont val="Calibri"/>
        <family val="2"/>
        <scheme val="minor"/>
      </rPr>
      <t xml:space="preserve"> → number of successes (rolling a 3 five times)</t>
    </r>
  </si>
  <si>
    <r>
      <t>30</t>
    </r>
    <r>
      <rPr>
        <sz val="11"/>
        <color theme="1"/>
        <rFont val="Calibri"/>
        <family val="2"/>
        <scheme val="minor"/>
      </rPr>
      <t xml:space="preserve"> → number of trials</t>
    </r>
  </si>
  <si>
    <r>
      <t>1/6</t>
    </r>
    <r>
      <rPr>
        <sz val="11"/>
        <color theme="1"/>
        <rFont val="Calibri"/>
        <family val="2"/>
        <scheme val="minor"/>
      </rPr>
      <t xml:space="preserve"> → probability of success</t>
    </r>
  </si>
  <si>
    <r>
      <t>FALSE</t>
    </r>
    <r>
      <rPr>
        <sz val="11"/>
        <color theme="1"/>
        <rFont val="Calibri"/>
        <family val="2"/>
        <scheme val="minor"/>
      </rPr>
      <t xml:space="preserve"> → exact probability (not cumulative)</t>
    </r>
  </si>
  <si>
    <t>Result</t>
  </si>
  <si>
    <t>If we calculate this, the probability is approximately:</t>
  </si>
  <si>
    <t>P(X=5)≈0.206</t>
  </si>
  <si>
    <r>
      <t xml:space="preserve">So, there’s about a </t>
    </r>
    <r>
      <rPr>
        <b/>
        <sz val="11"/>
        <color theme="1"/>
        <rFont val="Calibri"/>
        <family val="2"/>
        <scheme val="minor"/>
      </rPr>
      <t>20.6% chance</t>
    </r>
    <r>
      <rPr>
        <sz val="11"/>
        <color theme="1"/>
        <rFont val="Calibri"/>
        <family val="2"/>
        <scheme val="minor"/>
      </rPr>
      <t xml:space="preserve"> of rolling exactly five 3’s in 30 rolls.</t>
    </r>
  </si>
  <si>
    <t>QUEST. NO.2</t>
  </si>
  <si>
    <t>Generate 100 values in Excel using the continuous uniform distribution RAND() and plot a histogram. Describe the shape of the distribution.</t>
  </si>
  <si>
    <t>The probability of exactly k successes in n trials is:</t>
  </si>
  <si>
    <t>Generate 100 uniform random values in Excel</t>
  </si>
  <si>
    <r>
      <t>Formula:</t>
    </r>
    <r>
      <rPr>
        <sz val="11"/>
        <color theme="1"/>
        <rFont val="Calibri"/>
        <family val="2"/>
        <scheme val="minor"/>
      </rPr>
      <t xml:space="preserve"> In A1 enter </t>
    </r>
    <r>
      <rPr>
        <sz val="10"/>
        <color theme="1"/>
        <rFont val="Arial Unicode MS"/>
      </rPr>
      <t>=RAND()</t>
    </r>
    <r>
      <rPr>
        <sz val="11"/>
        <color theme="1"/>
        <rFont val="Calibri"/>
        <family val="2"/>
        <scheme val="minor"/>
      </rPr>
      <t xml:space="preserve"> and fill down to A100.</t>
    </r>
  </si>
  <si>
    <r>
      <t>Range:</t>
    </r>
    <r>
      <rPr>
        <sz val="11"/>
        <color theme="1"/>
        <rFont val="Calibri"/>
        <family val="2"/>
        <scheme val="minor"/>
      </rPr>
      <t xml:space="preserve"> </t>
    </r>
    <r>
      <rPr>
        <sz val="10"/>
        <color theme="1"/>
        <rFont val="Arial Unicode MS"/>
      </rPr>
      <t>RAND()</t>
    </r>
    <r>
      <rPr>
        <sz val="11"/>
        <color theme="1"/>
        <rFont val="Calibri"/>
        <family val="2"/>
        <scheme val="minor"/>
      </rPr>
      <t xml:space="preserve"> returns values in [0,1][0, 1], continuous uniform.</t>
    </r>
  </si>
  <si>
    <r>
      <t>Refresh:</t>
    </r>
    <r>
      <rPr>
        <sz val="11"/>
        <color theme="1"/>
        <rFont val="Calibri"/>
        <family val="2"/>
        <scheme val="minor"/>
      </rPr>
      <t xml:space="preserve"> Values recalculate on any sheet change; copy-paste values if you want them fixed.</t>
    </r>
  </si>
  <si>
    <r>
      <t>Expected shape:</t>
    </r>
    <r>
      <rPr>
        <sz val="11"/>
        <color theme="1"/>
        <rFont val="Calibri"/>
        <family val="2"/>
        <scheme val="minor"/>
      </rPr>
      <t xml:space="preserve"> The histogram should appear </t>
    </r>
    <r>
      <rPr>
        <b/>
        <sz val="11"/>
        <color theme="1"/>
        <rFont val="Calibri"/>
        <family val="2"/>
        <scheme val="minor"/>
      </rPr>
      <t>approximately flat</t>
    </r>
    <r>
      <rPr>
        <sz val="11"/>
        <color theme="1"/>
        <rFont val="Calibri"/>
        <family val="2"/>
        <scheme val="minor"/>
      </rPr>
      <t xml:space="preserve"> across the range 0 to 1, with </t>
    </r>
    <r>
      <rPr>
        <b/>
        <sz val="11"/>
        <color theme="1"/>
        <rFont val="Calibri"/>
        <family val="2"/>
        <scheme val="minor"/>
      </rPr>
      <t>similar counts in each bin</t>
    </r>
    <r>
      <rPr>
        <sz val="11"/>
        <color theme="1"/>
        <rFont val="Calibri"/>
        <family val="2"/>
        <scheme val="minor"/>
      </rPr>
      <t>.</t>
    </r>
  </si>
  <si>
    <r>
      <t>Reason:</t>
    </r>
    <r>
      <rPr>
        <sz val="11"/>
        <color theme="1"/>
        <rFont val="Calibri"/>
        <family val="2"/>
        <scheme val="minor"/>
      </rPr>
      <t xml:space="preserve"> </t>
    </r>
    <r>
      <rPr>
        <sz val="10"/>
        <color theme="1"/>
        <rFont val="Arial Unicode MS"/>
      </rPr>
      <t>RAND()</t>
    </r>
    <r>
      <rPr>
        <sz val="11"/>
        <color theme="1"/>
        <rFont val="Calibri"/>
        <family val="2"/>
        <scheme val="minor"/>
      </rPr>
      <t xml:space="preserve"> draws from a </t>
    </r>
    <r>
      <rPr>
        <b/>
        <sz val="11"/>
        <color theme="1"/>
        <rFont val="Calibri"/>
        <family val="2"/>
        <scheme val="minor"/>
      </rPr>
      <t>continuous uniform distribution U(0,1)</t>
    </r>
    <r>
      <rPr>
        <sz val="11"/>
        <color theme="1"/>
        <rFont val="Calibri"/>
        <family val="2"/>
        <scheme val="minor"/>
      </rPr>
      <t>, so every sub-interval of equal width has equal probability.</t>
    </r>
  </si>
  <si>
    <r>
      <t>Variability:</t>
    </r>
    <r>
      <rPr>
        <sz val="11"/>
        <color theme="1"/>
        <rFont val="Calibri"/>
        <family val="2"/>
        <scheme val="minor"/>
      </rPr>
      <t xml:space="preserve"> With only 100 samples, you’ll see </t>
    </r>
    <r>
      <rPr>
        <b/>
        <sz val="11"/>
        <color theme="1"/>
        <rFont val="Calibri"/>
        <family val="2"/>
        <scheme val="minor"/>
      </rPr>
      <t>random wiggles</t>
    </r>
    <r>
      <rPr>
        <sz val="11"/>
        <color theme="1"/>
        <rFont val="Calibri"/>
        <family val="2"/>
        <scheme val="minor"/>
      </rPr>
      <t>—some bins a bit higher or lower—but no consistent slope or clustering.</t>
    </r>
  </si>
  <si>
    <t>QUEST. NO.3</t>
  </si>
  <si>
    <t>A dataset has a mean of 50 and a standard deviation of 5. What percentage of values lie between 45 and 55 if the data follows a normal distribution?</t>
  </si>
  <si>
    <t>For a normally distributed dataset with a mean of 50 and standard deviation of 5, the interval 45 to 55 represents the range within one standard deviation of the mean.</t>
  </si>
  <si>
    <t>The z-score for 45</t>
  </si>
  <si>
    <t>X=45</t>
  </si>
  <si>
    <t>X=55</t>
  </si>
  <si>
    <t>So we are looking for P(−1≤Z≤1).</t>
  </si>
  <si>
    <t>Use the standard normal distribution</t>
  </si>
  <si>
    <t>P(Z≤1)≈0.8413</t>
  </si>
  <si>
    <t>P(Z≤−1)≈0.1587</t>
  </si>
  <si>
    <t>Subtract to get the probability</t>
  </si>
  <si>
    <t>p(−1≤Z≤1)=0.8413−0.1587=0.6826</t>
  </si>
  <si>
    <t>Therefore, about 68% of the values in this dataset will lie between 45 and 55 if the distribution is normal.</t>
  </si>
  <si>
    <t>QUEST. NO.4</t>
  </si>
  <si>
    <t>What is the concept of standardization (z-score), and why is it important in data analysis? Explain the formula and how standardization transforms a dataset.</t>
  </si>
  <si>
    <t>Standardization using the z-score is a method in statistics that transforms data to allow meaningful comparisons and analysis. The z-score indicates how many standard deviations a particular value is from the mean of its dataset, which is vital for comparing scores across different distributions and detecting outliers.</t>
  </si>
  <si>
    <t>The standardization (z-score) formula is:</t>
  </si>
  <si>
    <r>
      <t>X</t>
    </r>
    <r>
      <rPr>
        <sz val="12"/>
        <color theme="1"/>
        <rFont val="Segoe UI"/>
        <family val="2"/>
      </rPr>
      <t> is the value being standardized,</t>
    </r>
  </si>
  <si>
    <r>
      <t>μ</t>
    </r>
    <r>
      <rPr>
        <sz val="12"/>
        <color theme="1"/>
        <rFont val="Segoe UI"/>
        <family val="2"/>
      </rPr>
      <t> is the mean of the dataset,</t>
    </r>
  </si>
  <si>
    <r>
      <rPr>
        <i/>
        <sz val="13.3"/>
        <color theme="1"/>
        <rFont val="KaTeX_Math"/>
      </rPr>
      <t>σ</t>
    </r>
    <r>
      <rPr>
        <sz val="11"/>
        <color theme="1"/>
        <rFont val="Segoe UI"/>
        <family val="2"/>
      </rPr>
      <t> is the standard deviation of the dataset.</t>
    </r>
  </si>
  <si>
    <t>This transformation recalculates each data point into units of standard deviations from the mean, creating a standardized dataset with a mean of 0 and a standard deviation of 1.</t>
  </si>
  <si>
    <t>Importance in Data Analysis</t>
  </si>
  <si>
    <t>Comparability: Z-scores remove the units of measurement, allowing values from different datasets or scales to be easily compared.​</t>
  </si>
  <si>
    <r>
      <t>Probability and Outlier Detection</t>
    </r>
    <r>
      <rPr>
        <sz val="12"/>
        <color theme="1"/>
        <rFont val="Segoe UI"/>
        <family val="2"/>
      </rPr>
      <t>: Allows calculation of the probability of a score occurring within a normal distribution and identification of extreme values or anomalies.</t>
    </r>
  </si>
  <si>
    <r>
      <t>Preparation for Machine Learning</t>
    </r>
    <r>
      <rPr>
        <sz val="12"/>
        <color theme="1"/>
        <rFont val="Segoe UI"/>
        <family val="2"/>
      </rPr>
      <t>: Algorithms that rely on distance measures (like KNN or SVM) require features to be on the same scale, which is achieved through standardization.</t>
    </r>
  </si>
  <si>
    <t>How Standardization Transforms a Dataset</t>
  </si>
  <si>
    <t>Every raw value is converted into how many standard deviations it lies above or below the mean.</t>
  </si>
  <si>
    <t>The transformed dataset will have a mean of 0 and a standard deviation of 1, preserving the original shape of the distribution but putting all data on the same scale.</t>
  </si>
  <si>
    <t>In summary, z-score standardization converts raw values into a common scale, making data analysis and interpretation more effective and rigorous</t>
  </si>
  <si>
    <t>QUEST. NO.5</t>
  </si>
  <si>
    <t>What is Kurtosis and their type?</t>
  </si>
  <si>
    <t>Kurtosis is a statistical measure that describes the tailedness of a distribution—how heavy or light the tails are compared to a normal distribution. The three main types are Mesokurtic (normal tails), Leptokurtic (heavy tails), and Platykurtic (light tails)</t>
  </si>
  <si>
    <r>
      <t>Definition:</t>
    </r>
    <r>
      <rPr>
        <sz val="11"/>
        <color theme="1"/>
        <rFont val="Calibri"/>
        <family val="2"/>
        <scheme val="minor"/>
      </rPr>
      <t xml:space="preserve"> Kurtosis measures how often extreme values (outliers) occur in a dataset. It focuses on the </t>
    </r>
    <r>
      <rPr>
        <b/>
        <sz val="11"/>
        <color theme="1"/>
        <rFont val="Calibri"/>
        <family val="2"/>
        <scheme val="minor"/>
      </rPr>
      <t>tails</t>
    </r>
    <r>
      <rPr>
        <sz val="11"/>
        <color theme="1"/>
        <rFont val="Calibri"/>
        <family val="2"/>
        <scheme val="minor"/>
      </rPr>
      <t xml:space="preserve"> of the distribution rather than its center.</t>
    </r>
  </si>
  <si>
    <t>High kurtosis → more extreme values (fat tails).</t>
  </si>
  <si>
    <t>Low kurtosis → fewer extreme values (thin tails).</t>
  </si>
  <si>
    <t>Normal kurtosis → similar to the normal distribution.</t>
  </si>
  <si>
    <t>Mathematically, kurtosis is</t>
  </si>
  <si>
    <r>
      <t xml:space="preserve">The formula uses the </t>
    </r>
    <r>
      <rPr>
        <b/>
        <sz val="11"/>
        <color theme="1"/>
        <rFont val="Calibri"/>
        <family val="2"/>
        <scheme val="minor"/>
      </rPr>
      <t>fourth moment</t>
    </r>
    <r>
      <rPr>
        <sz val="11"/>
        <color theme="1"/>
        <rFont val="Calibri"/>
        <family val="2"/>
        <scheme val="minor"/>
      </rPr>
      <t xml:space="preserve"> of the distribution, which emphasizes tail behavior.</t>
    </r>
  </si>
  <si>
    <t>Types of Kurtosis</t>
  </si>
  <si>
    <t>Mesokurtic (Normal Kurtosis)</t>
  </si>
  <si>
    <t>Distribution has kurtosis similar to the normal distribution.</t>
  </si>
  <si>
    <t>&gt;</t>
  </si>
  <si>
    <r>
      <t>Excess kurtosis ≈ 0</t>
    </r>
    <r>
      <rPr>
        <sz val="11"/>
        <color theme="1"/>
        <rFont val="Calibri"/>
        <family val="2"/>
        <scheme val="minor"/>
      </rPr>
      <t>.</t>
    </r>
  </si>
  <si>
    <t>*</t>
  </si>
  <si>
    <t>Example: Standard normal distribution.</t>
  </si>
  <si>
    <t>Leptokurtic (High Kurtosis)</t>
  </si>
  <si>
    <r>
      <t xml:space="preserve">Distribution has </t>
    </r>
    <r>
      <rPr>
        <b/>
        <sz val="11"/>
        <color theme="1"/>
        <rFont val="Calibri"/>
        <family val="2"/>
        <scheme val="minor"/>
      </rPr>
      <t>fat tails</t>
    </r>
    <r>
      <rPr>
        <sz val="11"/>
        <color theme="1"/>
        <rFont val="Calibri"/>
        <family val="2"/>
        <scheme val="minor"/>
      </rPr>
      <t xml:space="preserve"> and a sharp peak.</t>
    </r>
  </si>
  <si>
    <t>More prone to outliers.</t>
  </si>
  <si>
    <r>
      <t>Excess kurtosis &gt; 0</t>
    </r>
    <r>
      <rPr>
        <sz val="11"/>
        <color theme="1"/>
        <rFont val="Calibri"/>
        <family val="2"/>
        <scheme val="minor"/>
      </rPr>
      <t>.</t>
    </r>
  </si>
  <si>
    <t>Example: Student’s t-distribution with low degrees of freedom.</t>
  </si>
  <si>
    <t>Platykurtic (Low Kurtosis)</t>
  </si>
  <si>
    <r>
      <t xml:space="preserve">Distribution has </t>
    </r>
    <r>
      <rPr>
        <b/>
        <sz val="11"/>
        <color theme="1"/>
        <rFont val="Calibri"/>
        <family val="2"/>
        <scheme val="minor"/>
      </rPr>
      <t>thin tails</t>
    </r>
    <r>
      <rPr>
        <sz val="11"/>
        <color theme="1"/>
        <rFont val="Calibri"/>
        <family val="2"/>
        <scheme val="minor"/>
      </rPr>
      <t xml:space="preserve"> and a flatter peak.</t>
    </r>
  </si>
  <si>
    <t>Fewer extreme values.</t>
  </si>
  <si>
    <r>
      <t>Excess kurtosis &lt; 0</t>
    </r>
    <r>
      <rPr>
        <sz val="11"/>
        <color theme="1"/>
        <rFont val="Calibri"/>
        <family val="2"/>
        <scheme val="minor"/>
      </rPr>
      <t>.</t>
    </r>
  </si>
  <si>
    <t>Example: Uniform distribution.</t>
  </si>
  <si>
    <r>
      <t>Risk Analysis:</t>
    </r>
    <r>
      <rPr>
        <sz val="11"/>
        <color theme="1"/>
        <rFont val="Calibri"/>
        <family val="2"/>
        <scheme val="minor"/>
      </rPr>
      <t xml:space="preserve"> In finance, high kurtosis signals higher risk due to extreme price movements</t>
    </r>
  </si>
  <si>
    <r>
      <t>Data Quality:</t>
    </r>
    <r>
      <rPr>
        <sz val="11"/>
        <color theme="1"/>
        <rFont val="Calibri"/>
        <family val="2"/>
        <scheme val="minor"/>
      </rPr>
      <t xml:space="preserve"> Helps detect outliers and unusual patterns.</t>
    </r>
  </si>
  <si>
    <r>
      <t>Modeling:</t>
    </r>
    <r>
      <rPr>
        <sz val="11"/>
        <color theme="1"/>
        <rFont val="Calibri"/>
        <family val="2"/>
        <scheme val="minor"/>
      </rPr>
      <t xml:space="preserve"> Ensures assumptions about normality are valid in statistical tests.</t>
    </r>
  </si>
  <si>
    <r>
      <t>In short:</t>
    </r>
    <r>
      <rPr>
        <sz val="11"/>
        <color theme="1"/>
        <rFont val="Calibri"/>
        <family val="2"/>
        <scheme val="minor"/>
      </rPr>
      <t xml:space="preserve"> Kurtosis tells us how extreme values behave in a dataset. Mesokurtic is normal, Leptokurtic is heavy-tailed, and Platykurtic is light-tailed.</t>
    </r>
  </si>
  <si>
    <t>QUEST. NO.6</t>
  </si>
  <si>
    <t>Explain why the uniform distribution is a good model for the outcome of rolling a fair die.</t>
  </si>
  <si>
    <t>The uniform distribution is an excellent model for the outcome of rolling a fair die because each possible outcome (1, 2, 3, 4, 5, or 6) is equally likely to occur. In probability terms, this means the chance of any single number coming up when the die is rolled is 1/6.</t>
  </si>
  <si>
    <t>Uniform Distribution Fits</t>
  </si>
  <si>
    <t>Formula:</t>
  </si>
  <si>
    <t>For a die:</t>
  </si>
  <si>
    <t>where n = number of possible outcomes.</t>
  </si>
  <si>
    <t>It’s a Good Model</t>
  </si>
  <si>
    <t>Fairness captured: The uniform distribution directly encodes the idea that no outcome is more likely than another.</t>
  </si>
  <si>
    <t>Simplicity: Easy to compute probabilities (e.g., probability of rolling an even number = 3/6=0.5.</t>
  </si>
  <si>
    <t>Foundation for analysis: Used in probability theory, simulations, and statistical models involving dice games.</t>
  </si>
  <si>
    <r>
      <rPr>
        <b/>
        <sz val="11"/>
        <color theme="1"/>
        <rFont val="Calibri"/>
        <family val="2"/>
        <scheme val="minor"/>
      </rPr>
      <t xml:space="preserve">Equal Probability: </t>
    </r>
    <r>
      <rPr>
        <sz val="11"/>
        <color theme="1"/>
        <rFont val="Calibri"/>
        <family val="2"/>
        <scheme val="minor"/>
      </rPr>
      <t>Every face on a fair die is constructed to have the same size and weight, so the likelihood of landing on any one face is identical. This is the core property of a uniform distribution—every outcome in the sample space has the same probability</t>
    </r>
  </si>
  <si>
    <r>
      <rPr>
        <b/>
        <sz val="11"/>
        <color theme="1"/>
        <rFont val="Calibri"/>
        <family val="2"/>
        <scheme val="minor"/>
      </rPr>
      <t xml:space="preserve">Finite Possible Outcomes: </t>
    </r>
    <r>
      <rPr>
        <sz val="11"/>
        <color theme="1"/>
        <rFont val="Calibri"/>
        <family val="2"/>
        <scheme val="minor"/>
      </rPr>
      <t>Rolling a six-sided die offers a limited set of outcomes (1 to 6), and no value outside this range is possible. The uniform distribution specifically describes situations with a finite number of equally likely outcomes</t>
    </r>
  </si>
  <si>
    <r>
      <rPr>
        <b/>
        <sz val="11"/>
        <color theme="1"/>
        <rFont val="Calibri"/>
        <family val="2"/>
        <scheme val="minor"/>
      </rPr>
      <t>Probability Mass Function:</t>
    </r>
    <r>
      <rPr>
        <sz val="11"/>
        <color theme="1"/>
        <rFont val="Calibri"/>
        <family val="2"/>
        <scheme val="minor"/>
      </rPr>
      <t xml:space="preserve"> In mathematical terms, a discrete uniform distribution assigns a probability of 1/n to each outcome, where n is the number of possible outcomes. For a die, n=6, so each face has a 1/6 chance of showing up on each roll</t>
    </r>
  </si>
  <si>
    <t>QUEST. NO.7</t>
  </si>
  <si>
    <t>Use Excel to compute the probability of getting at least 8 successes in 15 trials with success probability 0.5</t>
  </si>
  <si>
    <t>Number of trials (n) = 15</t>
  </si>
  <si>
    <t>Probability of success (p) = 0.5</t>
  </si>
  <si>
    <t>P(X≥8)where X∼Binomial(n=15,p=0.5)</t>
  </si>
  <si>
    <t>BINOM.DIST function</t>
  </si>
  <si>
    <t>BINOM.DIST(x,n,p,cumulative)</t>
  </si>
  <si>
    <r>
      <t>x</t>
    </r>
    <r>
      <rPr>
        <sz val="11"/>
        <color theme="1"/>
        <rFont val="Calibri"/>
        <family val="2"/>
        <scheme val="minor"/>
      </rPr>
      <t xml:space="preserve"> = number of successes</t>
    </r>
  </si>
  <si>
    <r>
      <t>n</t>
    </r>
    <r>
      <rPr>
        <sz val="11"/>
        <color theme="1"/>
        <rFont val="Calibri"/>
        <family val="2"/>
        <scheme val="minor"/>
      </rPr>
      <t xml:space="preserve"> = number of trials</t>
    </r>
  </si>
  <si>
    <r>
      <t>p</t>
    </r>
    <r>
      <rPr>
        <sz val="11"/>
        <color theme="1"/>
        <rFont val="Calibri"/>
        <family val="2"/>
        <scheme val="minor"/>
      </rPr>
      <t xml:space="preserve"> = probability of success</t>
    </r>
  </si>
  <si>
    <r>
      <t>cumulative</t>
    </r>
    <r>
      <rPr>
        <sz val="11"/>
        <color theme="1"/>
        <rFont val="Calibri"/>
        <family val="2"/>
        <scheme val="minor"/>
      </rPr>
      <t xml:space="preserve"> = TRUE (for cumulative probability up to x), FALSE (for exact probability at x)</t>
    </r>
  </si>
  <si>
    <t>Compute cumulative probability up to 7</t>
  </si>
  <si>
    <t>Since we want P(X≥8), it’s easier to compute the complement:</t>
  </si>
  <si>
    <t>P(X≥8)=1−P(X≤7)</t>
  </si>
  <si>
    <t>=1 - BINOM.DIST(7, 15, 0.5, TRUE)</t>
  </si>
  <si>
    <t>Formula</t>
  </si>
  <si>
    <t>Excel</t>
  </si>
  <si>
    <t>QUEST. NO.8</t>
  </si>
  <si>
    <t>How does log transformation help in stabilizing variance and making data more normally distributed?</t>
  </si>
  <si>
    <t>Log transformation reduces skewness and stabilizes variance by compressing large values and expanding small ones. This makes data more symmetric, closer to a normal distribution, and suitable for statistical models that assume constant variance.</t>
  </si>
  <si>
    <t>Why Variance Stabilization Matters</t>
  </si>
  <si>
    <t>Many statistical methods (e.g., regression, ANOVA) assume homoscedasticity—that variance is constant across the range of data.</t>
  </si>
  <si>
    <t>Real-world data often shows heteroscedasticity (variance increases with the mean). For example, income data: higher incomes vary much more than lower incomes.</t>
  </si>
  <si>
    <t>A variance-stabilizing transformation like the logarithm helps correct this imbalance</t>
  </si>
  <si>
    <t>Log Transformation Works</t>
  </si>
  <si>
    <t>where y is the original variable and y' is the transformed variable.</t>
  </si>
  <si>
    <t>Effect on scale:</t>
  </si>
  <si>
    <t>Large values are compressed (differences shrink).</t>
  </si>
  <si>
    <t>Small values are expanded (differences grow).</t>
  </si>
  <si>
    <t>This reduces the dependence of variance on the mean.</t>
  </si>
  <si>
    <t>Impact on distribution:</t>
  </si>
  <si>
    <t>Right-skewed data (long tail to the right) becomes more symmetric.</t>
  </si>
  <si>
    <t>Outliers are pulled closer to the bulk of the data.</t>
  </si>
  <si>
    <t>The transformed data often approximates a normal distribution, which is ideal for parametric tests</t>
  </si>
  <si>
    <t>Example</t>
  </si>
  <si>
    <t>Raw data: highly skewed, variance grows with income.</t>
  </si>
  <si>
    <t>After log transformation:</t>
  </si>
  <si>
    <t>Suppose incomes range from ₹10,000 to ₹1,000,000.</t>
  </si>
  <si>
    <t>₹10,000 → log ≈ 9.2</t>
  </si>
  <si>
    <t>₹1,000,000 → log ≈ 13.8</t>
  </si>
  <si>
    <t>The spread is compressed, making the distribution more balanced and less skewed.</t>
  </si>
  <si>
    <t>Benefits in Data Analysis</t>
  </si>
  <si>
    <r>
      <t>Improves model fit:</t>
    </r>
    <r>
      <rPr>
        <sz val="11"/>
        <color theme="1"/>
        <rFont val="Calibri"/>
        <family val="2"/>
        <scheme val="minor"/>
      </rPr>
      <t xml:space="preserve"> Linear regression assumptions hold better.</t>
    </r>
  </si>
  <si>
    <r>
      <t>Enhances interpretability:</t>
    </r>
    <r>
      <rPr>
        <sz val="11"/>
        <color theme="1"/>
        <rFont val="Calibri"/>
        <family val="2"/>
        <scheme val="minor"/>
      </rPr>
      <t xml:space="preserve"> Coefficients can be interpreted as percentage changes.</t>
    </r>
  </si>
  <si>
    <r>
      <t>Reduces influence of outliers:</t>
    </r>
    <r>
      <rPr>
        <sz val="11"/>
        <color theme="1"/>
        <rFont val="Calibri"/>
        <family val="2"/>
        <scheme val="minor"/>
      </rPr>
      <t xml:space="preserve"> Extreme values don’t dominate the analysis.</t>
    </r>
  </si>
  <si>
    <r>
      <t>Prepares data for normal-based methods:</t>
    </r>
    <r>
      <rPr>
        <sz val="11"/>
        <color theme="1"/>
        <rFont val="Calibri"/>
        <family val="2"/>
        <scheme val="minor"/>
      </rPr>
      <t xml:space="preserve"> Many statistical tests rely on normality.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</si>
</sst>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1"/>
      <color theme="1"/>
      <name val="Calibri"/>
      <family val="2"/>
      <scheme val="minor"/>
    </font>
    <font>
      <sz val="10"/>
      <color theme="1"/>
      <name val="Arial Unicode MS"/>
    </font>
    <font>
      <sz val="12"/>
      <color theme="1"/>
      <name val="Segoe UI"/>
      <family val="2"/>
    </font>
    <font>
      <b/>
      <sz val="12"/>
      <color theme="1"/>
      <name val="Segoe UI"/>
      <family val="2"/>
    </font>
    <font>
      <sz val="11"/>
      <color theme="1"/>
      <name val="Segoe UI"/>
      <family val="2"/>
    </font>
    <font>
      <sz val="13.3"/>
      <color theme="1"/>
      <name val="Times New Roman"/>
      <family val="1"/>
    </font>
    <font>
      <i/>
      <sz val="13.3"/>
      <color theme="1"/>
      <name val="KaTeX_Math"/>
    </font>
    <font>
      <sz val="12"/>
      <color theme="1"/>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2">
    <border>
      <left/>
      <right/>
      <top/>
      <bottom/>
      <diagonal/>
    </border>
    <border>
      <left/>
      <right/>
      <top style="thin">
        <color indexed="64"/>
      </top>
      <bottom style="medium">
        <color indexed="64"/>
      </bottom>
      <diagonal/>
    </border>
  </borders>
  <cellStyleXfs count="1">
    <xf numFmtId="0" fontId="0" fillId="0" borderId="0"/>
  </cellStyleXfs>
  <cellXfs count="26">
    <xf numFmtId="0" fontId="0" fillId="0" borderId="0" xfId="0"/>
    <xf numFmtId="0" fontId="1" fillId="0" borderId="0" xfId="0" applyFont="1"/>
    <xf numFmtId="0" fontId="2" fillId="0" borderId="0" xfId="0" quotePrefix="1" applyFont="1" applyAlignment="1">
      <alignment vertical="center"/>
    </xf>
    <xf numFmtId="0" fontId="2" fillId="0" borderId="0" xfId="0" applyFont="1"/>
    <xf numFmtId="0" fontId="1" fillId="2" borderId="1" xfId="0" applyFont="1" applyFill="1" applyBorder="1"/>
    <xf numFmtId="0" fontId="1" fillId="3" borderId="1" xfId="0" applyFont="1" applyFill="1" applyBorder="1"/>
    <xf numFmtId="164" fontId="0" fillId="0" borderId="0" xfId="0" applyNumberFormat="1"/>
    <xf numFmtId="0" fontId="3" fillId="0" borderId="0" xfId="0" applyFont="1"/>
    <xf numFmtId="0" fontId="4" fillId="0" borderId="0" xfId="0" applyFont="1"/>
    <xf numFmtId="0" fontId="5" fillId="0" borderId="0" xfId="0" applyFont="1"/>
    <xf numFmtId="0" fontId="3" fillId="0" borderId="0" xfId="0" applyFont="1" applyAlignment="1">
      <alignment wrapText="1"/>
    </xf>
    <xf numFmtId="0" fontId="3" fillId="0" borderId="0" xfId="0" applyFont="1" applyAlignment="1">
      <alignment vertical="center" wrapText="1"/>
    </xf>
    <xf numFmtId="0" fontId="1" fillId="3" borderId="1" xfId="0" applyFont="1" applyFill="1" applyBorder="1" applyAlignment="1">
      <alignment horizontal="center" vertical="center"/>
    </xf>
    <xf numFmtId="0" fontId="7" fillId="0" borderId="0" xfId="0" applyFont="1"/>
    <xf numFmtId="0" fontId="6" fillId="0" borderId="0" xfId="0" applyFont="1" applyAlignment="1">
      <alignment horizontal="left" vertical="center" indent="2"/>
    </xf>
    <xf numFmtId="0" fontId="8"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wrapText="1"/>
    </xf>
    <xf numFmtId="0" fontId="1" fillId="0" borderId="0" xfId="0" applyFont="1" applyAlignment="1">
      <alignment horizontal="right"/>
    </xf>
    <xf numFmtId="0" fontId="0" fillId="0" borderId="0" xfId="0" applyAlignment="1">
      <alignment horizontal="right"/>
    </xf>
    <xf numFmtId="0" fontId="3" fillId="0" borderId="0" xfId="0" applyFont="1" applyAlignment="1">
      <alignment horizontal="left" vertical="center" wrapText="1"/>
    </xf>
    <xf numFmtId="0" fontId="4" fillId="0" borderId="0" xfId="0" applyFont="1" applyAlignment="1">
      <alignment horizontal="left" vertical="center"/>
    </xf>
    <xf numFmtId="2" fontId="1" fillId="0" borderId="0" xfId="0" applyNumberFormat="1" applyFont="1" applyAlignment="1">
      <alignment horizontal="left"/>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735F8049-FE99-483D-8650-A68C2AFA7145}">
          <cx:dataId val="0"/>
          <cx:layoutPr>
            <cx:binning intervalClosed="r">
              <cx:binCount val="10"/>
            </cx:binning>
          </cx:layoutPr>
        </cx:series>
      </cx:plotAreaRegion>
      <cx:axis id="0">
        <cx:catScaling gapWidth="0"/>
        <cx:title/>
        <cx:tickLabels/>
      </cx:axis>
      <cx:axis id="1">
        <cx:valScaling/>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8</xdr:col>
      <xdr:colOff>733425</xdr:colOff>
      <xdr:row>12</xdr:row>
      <xdr:rowOff>142875</xdr:rowOff>
    </xdr:from>
    <xdr:to>
      <xdr:col>12</xdr:col>
      <xdr:colOff>581373</xdr:colOff>
      <xdr:row>17</xdr:row>
      <xdr:rowOff>19166</xdr:rowOff>
    </xdr:to>
    <xdr:pic>
      <xdr:nvPicPr>
        <xdr:cNvPr id="2" name="Picture 1">
          <a:extLst>
            <a:ext uri="{FF2B5EF4-FFF2-40B4-BE49-F238E27FC236}">
              <a16:creationId xmlns:a16="http://schemas.microsoft.com/office/drawing/2014/main" id="{0815AEE5-CFFE-2209-EDE6-A50262A04BB0}"/>
            </a:ext>
          </a:extLst>
        </xdr:cNvPr>
        <xdr:cNvPicPr>
          <a:picLocks noChangeAspect="1"/>
        </xdr:cNvPicPr>
      </xdr:nvPicPr>
      <xdr:blipFill>
        <a:blip xmlns:r="http://schemas.openxmlformats.org/officeDocument/2006/relationships" r:embed="rId1">
          <a:clrChange>
            <a:clrFrom>
              <a:srgbClr val="F8F4F1"/>
            </a:clrFrom>
            <a:clrTo>
              <a:srgbClr val="F8F4F1">
                <a:alpha val="0"/>
              </a:srgbClr>
            </a:clrTo>
          </a:clrChange>
        </a:blip>
        <a:stretch>
          <a:fillRect/>
        </a:stretch>
      </xdr:blipFill>
      <xdr:spPr>
        <a:xfrm>
          <a:off x="5610225" y="2447925"/>
          <a:ext cx="2495898" cy="828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821120</xdr:colOff>
      <xdr:row>10</xdr:row>
      <xdr:rowOff>0</xdr:rowOff>
    </xdr:from>
    <xdr:to>
      <xdr:col>17</xdr:col>
      <xdr:colOff>26275</xdr:colOff>
      <xdr:row>24</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4CC9154-535A-43F3-AA75-BDCACBDFA6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5689" y="1918138"/>
              <a:ext cx="6746327"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28575</xdr:colOff>
      <xdr:row>5</xdr:row>
      <xdr:rowOff>114300</xdr:rowOff>
    </xdr:from>
    <xdr:to>
      <xdr:col>13</xdr:col>
      <xdr:colOff>200219</xdr:colOff>
      <xdr:row>9</xdr:row>
      <xdr:rowOff>133467</xdr:rowOff>
    </xdr:to>
    <xdr:pic>
      <xdr:nvPicPr>
        <xdr:cNvPr id="2" name="Picture 1">
          <a:extLst>
            <a:ext uri="{FF2B5EF4-FFF2-40B4-BE49-F238E27FC236}">
              <a16:creationId xmlns:a16="http://schemas.microsoft.com/office/drawing/2014/main" id="{5BDC5270-A703-B955-2262-7171BB81C192}"/>
            </a:ext>
          </a:extLst>
        </xdr:cNvPr>
        <xdr:cNvPicPr>
          <a:picLocks noChangeAspect="1"/>
        </xdr:cNvPicPr>
      </xdr:nvPicPr>
      <xdr:blipFill>
        <a:blip xmlns:r="http://schemas.openxmlformats.org/officeDocument/2006/relationships" r:embed="rId1">
          <a:clrChange>
            <a:clrFrom>
              <a:srgbClr val="F8F4F1"/>
            </a:clrFrom>
            <a:clrTo>
              <a:srgbClr val="F8F4F1">
                <a:alpha val="0"/>
              </a:srgbClr>
            </a:clrTo>
          </a:clrChange>
        </a:blip>
        <a:stretch>
          <a:fillRect/>
        </a:stretch>
      </xdr:blipFill>
      <xdr:spPr>
        <a:xfrm>
          <a:off x="6943725" y="1104900"/>
          <a:ext cx="1390844" cy="838317"/>
        </a:xfrm>
        <a:prstGeom prst="rect">
          <a:avLst/>
        </a:prstGeom>
      </xdr:spPr>
    </xdr:pic>
    <xdr:clientData/>
  </xdr:twoCellAnchor>
  <xdr:twoCellAnchor editAs="oneCell">
    <xdr:from>
      <xdr:col>10</xdr:col>
      <xdr:colOff>447675</xdr:colOff>
      <xdr:row>9</xdr:row>
      <xdr:rowOff>19050</xdr:rowOff>
    </xdr:from>
    <xdr:to>
      <xdr:col>13</xdr:col>
      <xdr:colOff>495562</xdr:colOff>
      <xdr:row>12</xdr:row>
      <xdr:rowOff>171551</xdr:rowOff>
    </xdr:to>
    <xdr:pic>
      <xdr:nvPicPr>
        <xdr:cNvPr id="3" name="Picture 2">
          <a:extLst>
            <a:ext uri="{FF2B5EF4-FFF2-40B4-BE49-F238E27FC236}">
              <a16:creationId xmlns:a16="http://schemas.microsoft.com/office/drawing/2014/main" id="{2EE5F5B3-574F-A5C6-6BF7-CE63E47C901F}"/>
            </a:ext>
          </a:extLst>
        </xdr:cNvPr>
        <xdr:cNvPicPr>
          <a:picLocks noChangeAspect="1"/>
        </xdr:cNvPicPr>
      </xdr:nvPicPr>
      <xdr:blipFill>
        <a:blip xmlns:r="http://schemas.openxmlformats.org/officeDocument/2006/relationships" r:embed="rId2">
          <a:clrChange>
            <a:clrFrom>
              <a:srgbClr val="F8F4F1"/>
            </a:clrFrom>
            <a:clrTo>
              <a:srgbClr val="F8F4F1">
                <a:alpha val="0"/>
              </a:srgbClr>
            </a:clrTo>
          </a:clrChange>
        </a:blip>
        <a:stretch>
          <a:fillRect/>
        </a:stretch>
      </xdr:blipFill>
      <xdr:spPr>
        <a:xfrm>
          <a:off x="6753225" y="1828800"/>
          <a:ext cx="1876687" cy="724001"/>
        </a:xfrm>
        <a:prstGeom prst="rect">
          <a:avLst/>
        </a:prstGeom>
      </xdr:spPr>
    </xdr:pic>
    <xdr:clientData/>
  </xdr:twoCellAnchor>
  <xdr:twoCellAnchor editAs="oneCell">
    <xdr:from>
      <xdr:col>11</xdr:col>
      <xdr:colOff>19050</xdr:colOff>
      <xdr:row>14</xdr:row>
      <xdr:rowOff>0</xdr:rowOff>
    </xdr:from>
    <xdr:to>
      <xdr:col>14</xdr:col>
      <xdr:colOff>124095</xdr:colOff>
      <xdr:row>17</xdr:row>
      <xdr:rowOff>123922</xdr:rowOff>
    </xdr:to>
    <xdr:pic>
      <xdr:nvPicPr>
        <xdr:cNvPr id="4" name="Picture 3">
          <a:extLst>
            <a:ext uri="{FF2B5EF4-FFF2-40B4-BE49-F238E27FC236}">
              <a16:creationId xmlns:a16="http://schemas.microsoft.com/office/drawing/2014/main" id="{A5DB3426-219F-9F93-A6DB-991513AAF3C8}"/>
            </a:ext>
          </a:extLst>
        </xdr:cNvPr>
        <xdr:cNvPicPr>
          <a:picLocks noChangeAspect="1"/>
        </xdr:cNvPicPr>
      </xdr:nvPicPr>
      <xdr:blipFill>
        <a:blip xmlns:r="http://schemas.openxmlformats.org/officeDocument/2006/relationships" r:embed="rId3">
          <a:clrChange>
            <a:clrFrom>
              <a:srgbClr val="F8F4F1"/>
            </a:clrFrom>
            <a:clrTo>
              <a:srgbClr val="F8F4F1">
                <a:alpha val="0"/>
              </a:srgbClr>
            </a:clrTo>
          </a:clrChange>
        </a:blip>
        <a:stretch>
          <a:fillRect/>
        </a:stretch>
      </xdr:blipFill>
      <xdr:spPr>
        <a:xfrm>
          <a:off x="6934200" y="2762250"/>
          <a:ext cx="1933845" cy="6954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2838450</xdr:colOff>
      <xdr:row>6</xdr:row>
      <xdr:rowOff>114300</xdr:rowOff>
    </xdr:from>
    <xdr:to>
      <xdr:col>9</xdr:col>
      <xdr:colOff>4334084</xdr:colOff>
      <xdr:row>11</xdr:row>
      <xdr:rowOff>190648</xdr:rowOff>
    </xdr:to>
    <xdr:pic>
      <xdr:nvPicPr>
        <xdr:cNvPr id="2" name="Picture 1">
          <a:extLst>
            <a:ext uri="{FF2B5EF4-FFF2-40B4-BE49-F238E27FC236}">
              <a16:creationId xmlns:a16="http://schemas.microsoft.com/office/drawing/2014/main" id="{0CA82F4E-79AA-9DBD-DB4B-4F97CC7AE159}"/>
            </a:ext>
          </a:extLst>
        </xdr:cNvPr>
        <xdr:cNvPicPr>
          <a:picLocks noChangeAspect="1"/>
        </xdr:cNvPicPr>
      </xdr:nvPicPr>
      <xdr:blipFill>
        <a:blip xmlns:r="http://schemas.openxmlformats.org/officeDocument/2006/relationships" r:embed="rId1">
          <a:clrChange>
            <a:clrFrom>
              <a:srgbClr val="FCFCF9"/>
            </a:clrFrom>
            <a:clrTo>
              <a:srgbClr val="FCFCF9">
                <a:alpha val="0"/>
              </a:srgbClr>
            </a:clrTo>
          </a:clrChange>
        </a:blip>
        <a:stretch>
          <a:fillRect/>
        </a:stretch>
      </xdr:blipFill>
      <xdr:spPr>
        <a:xfrm>
          <a:off x="8534400" y="1771650"/>
          <a:ext cx="1495634" cy="10574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1790700</xdr:colOff>
      <xdr:row>11</xdr:row>
      <xdr:rowOff>114300</xdr:rowOff>
    </xdr:from>
    <xdr:to>
      <xdr:col>9</xdr:col>
      <xdr:colOff>3600703</xdr:colOff>
      <xdr:row>16</xdr:row>
      <xdr:rowOff>66801</xdr:rowOff>
    </xdr:to>
    <xdr:pic>
      <xdr:nvPicPr>
        <xdr:cNvPr id="2" name="Picture 1">
          <a:extLst>
            <a:ext uri="{FF2B5EF4-FFF2-40B4-BE49-F238E27FC236}">
              <a16:creationId xmlns:a16="http://schemas.microsoft.com/office/drawing/2014/main" id="{168585D1-BF0A-5583-F866-B0485BF982FC}"/>
            </a:ext>
          </a:extLst>
        </xdr:cNvPr>
        <xdr:cNvPicPr>
          <a:picLocks noChangeAspect="1"/>
        </xdr:cNvPicPr>
      </xdr:nvPicPr>
      <xdr:blipFill>
        <a:blip xmlns:r="http://schemas.openxmlformats.org/officeDocument/2006/relationships" r:embed="rId1">
          <a:clrChange>
            <a:clrFrom>
              <a:srgbClr val="F8F4F1"/>
            </a:clrFrom>
            <a:clrTo>
              <a:srgbClr val="F8F4F1">
                <a:alpha val="0"/>
              </a:srgbClr>
            </a:clrTo>
          </a:clrChange>
        </a:blip>
        <a:stretch>
          <a:fillRect/>
        </a:stretch>
      </xdr:blipFill>
      <xdr:spPr>
        <a:xfrm>
          <a:off x="7486650" y="2638425"/>
          <a:ext cx="1810003" cy="905001"/>
        </a:xfrm>
        <a:prstGeom prst="rect">
          <a:avLst/>
        </a:prstGeom>
      </xdr:spPr>
    </xdr:pic>
    <xdr:clientData/>
  </xdr:twoCellAnchor>
  <xdr:twoCellAnchor editAs="oneCell">
    <xdr:from>
      <xdr:col>9</xdr:col>
      <xdr:colOff>5372100</xdr:colOff>
      <xdr:row>15</xdr:row>
      <xdr:rowOff>180975</xdr:rowOff>
    </xdr:from>
    <xdr:to>
      <xdr:col>9</xdr:col>
      <xdr:colOff>6962997</xdr:colOff>
      <xdr:row>24</xdr:row>
      <xdr:rowOff>76425</xdr:rowOff>
    </xdr:to>
    <xdr:pic>
      <xdr:nvPicPr>
        <xdr:cNvPr id="3" name="Picture 2">
          <a:extLst>
            <a:ext uri="{FF2B5EF4-FFF2-40B4-BE49-F238E27FC236}">
              <a16:creationId xmlns:a16="http://schemas.microsoft.com/office/drawing/2014/main" id="{D36FDD7A-419C-00DE-FBCD-5F11317C4E35}"/>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1068050" y="3467100"/>
          <a:ext cx="1590897" cy="1609950"/>
        </a:xfrm>
        <a:prstGeom prst="rect">
          <a:avLst/>
        </a:prstGeom>
      </xdr:spPr>
    </xdr:pic>
    <xdr:clientData/>
  </xdr:twoCellAnchor>
  <xdr:twoCellAnchor editAs="oneCell">
    <xdr:from>
      <xdr:col>9</xdr:col>
      <xdr:colOff>5362575</xdr:colOff>
      <xdr:row>22</xdr:row>
      <xdr:rowOff>133350</xdr:rowOff>
    </xdr:from>
    <xdr:to>
      <xdr:col>9</xdr:col>
      <xdr:colOff>6962998</xdr:colOff>
      <xdr:row>31</xdr:row>
      <xdr:rowOff>38326</xdr:rowOff>
    </xdr:to>
    <xdr:pic>
      <xdr:nvPicPr>
        <xdr:cNvPr id="5" name="Picture 4">
          <a:extLst>
            <a:ext uri="{FF2B5EF4-FFF2-40B4-BE49-F238E27FC236}">
              <a16:creationId xmlns:a16="http://schemas.microsoft.com/office/drawing/2014/main" id="{99D3FB09-5F4F-4009-3250-DE2C73DAB415}"/>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tretch>
          <a:fillRect/>
        </a:stretch>
      </xdr:blipFill>
      <xdr:spPr>
        <a:xfrm>
          <a:off x="11058525" y="4752975"/>
          <a:ext cx="1600423" cy="1619476"/>
        </a:xfrm>
        <a:prstGeom prst="rect">
          <a:avLst/>
        </a:prstGeom>
      </xdr:spPr>
    </xdr:pic>
    <xdr:clientData/>
  </xdr:twoCellAnchor>
  <xdr:twoCellAnchor editAs="oneCell">
    <xdr:from>
      <xdr:col>9</xdr:col>
      <xdr:colOff>5400675</xdr:colOff>
      <xdr:row>29</xdr:row>
      <xdr:rowOff>123825</xdr:rowOff>
    </xdr:from>
    <xdr:to>
      <xdr:col>9</xdr:col>
      <xdr:colOff>6915361</xdr:colOff>
      <xdr:row>37</xdr:row>
      <xdr:rowOff>143090</xdr:rowOff>
    </xdr:to>
    <xdr:pic>
      <xdr:nvPicPr>
        <xdr:cNvPr id="6" name="Picture 5">
          <a:extLst>
            <a:ext uri="{FF2B5EF4-FFF2-40B4-BE49-F238E27FC236}">
              <a16:creationId xmlns:a16="http://schemas.microsoft.com/office/drawing/2014/main" id="{E5054573-4CE6-8B06-D6D9-F4DD9DB77542}"/>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blip>
        <a:stretch>
          <a:fillRect/>
        </a:stretch>
      </xdr:blipFill>
      <xdr:spPr>
        <a:xfrm>
          <a:off x="11096625" y="6076950"/>
          <a:ext cx="1514686" cy="15432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1104900</xdr:colOff>
      <xdr:row>5</xdr:row>
      <xdr:rowOff>523875</xdr:rowOff>
    </xdr:from>
    <xdr:to>
      <xdr:col>9</xdr:col>
      <xdr:colOff>2410007</xdr:colOff>
      <xdr:row>10</xdr:row>
      <xdr:rowOff>28705</xdr:rowOff>
    </xdr:to>
    <xdr:pic>
      <xdr:nvPicPr>
        <xdr:cNvPr id="2" name="Picture 1">
          <a:extLst>
            <a:ext uri="{FF2B5EF4-FFF2-40B4-BE49-F238E27FC236}">
              <a16:creationId xmlns:a16="http://schemas.microsoft.com/office/drawing/2014/main" id="{2550F90C-A25E-7494-6C10-7B0EB0632A40}"/>
            </a:ext>
          </a:extLst>
        </xdr:cNvPr>
        <xdr:cNvPicPr>
          <a:picLocks noChangeAspect="1"/>
        </xdr:cNvPicPr>
      </xdr:nvPicPr>
      <xdr:blipFill>
        <a:blip xmlns:r="http://schemas.openxmlformats.org/officeDocument/2006/relationships" r:embed="rId1">
          <a:clrChange>
            <a:clrFrom>
              <a:srgbClr val="F8F4F1"/>
            </a:clrFrom>
            <a:clrTo>
              <a:srgbClr val="F8F4F1">
                <a:alpha val="0"/>
              </a:srgbClr>
            </a:clrTo>
          </a:clrChange>
        </a:blip>
        <a:stretch>
          <a:fillRect/>
        </a:stretch>
      </xdr:blipFill>
      <xdr:spPr>
        <a:xfrm>
          <a:off x="6800850" y="1514475"/>
          <a:ext cx="1305107" cy="933580"/>
        </a:xfrm>
        <a:prstGeom prst="rect">
          <a:avLst/>
        </a:prstGeom>
      </xdr:spPr>
    </xdr:pic>
    <xdr:clientData/>
  </xdr:twoCellAnchor>
  <xdr:twoCellAnchor editAs="oneCell">
    <xdr:from>
      <xdr:col>9</xdr:col>
      <xdr:colOff>1352550</xdr:colOff>
      <xdr:row>9</xdr:row>
      <xdr:rowOff>171450</xdr:rowOff>
    </xdr:from>
    <xdr:to>
      <xdr:col>9</xdr:col>
      <xdr:colOff>4029449</xdr:colOff>
      <xdr:row>14</xdr:row>
      <xdr:rowOff>181109</xdr:rowOff>
    </xdr:to>
    <xdr:pic>
      <xdr:nvPicPr>
        <xdr:cNvPr id="3" name="Picture 2">
          <a:extLst>
            <a:ext uri="{FF2B5EF4-FFF2-40B4-BE49-F238E27FC236}">
              <a16:creationId xmlns:a16="http://schemas.microsoft.com/office/drawing/2014/main" id="{E94DE88E-B938-7C2A-3CCC-3535088F4DDE}"/>
            </a:ext>
          </a:extLst>
        </xdr:cNvPr>
        <xdr:cNvPicPr>
          <a:picLocks noChangeAspect="1"/>
        </xdr:cNvPicPr>
      </xdr:nvPicPr>
      <xdr:blipFill>
        <a:blip xmlns:r="http://schemas.openxmlformats.org/officeDocument/2006/relationships" r:embed="rId2">
          <a:clrChange>
            <a:clrFrom>
              <a:srgbClr val="F8F4F1"/>
            </a:clrFrom>
            <a:clrTo>
              <a:srgbClr val="F8F4F1">
                <a:alpha val="0"/>
              </a:srgbClr>
            </a:clrTo>
          </a:clrChange>
        </a:blip>
        <a:stretch>
          <a:fillRect/>
        </a:stretch>
      </xdr:blipFill>
      <xdr:spPr>
        <a:xfrm>
          <a:off x="7048500" y="2400300"/>
          <a:ext cx="2676899" cy="962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685800</xdr:colOff>
      <xdr:row>12</xdr:row>
      <xdr:rowOff>123825</xdr:rowOff>
    </xdr:from>
    <xdr:to>
      <xdr:col>9</xdr:col>
      <xdr:colOff>1914696</xdr:colOff>
      <xdr:row>16</xdr:row>
      <xdr:rowOff>19142</xdr:rowOff>
    </xdr:to>
    <xdr:pic>
      <xdr:nvPicPr>
        <xdr:cNvPr id="2" name="Picture 1">
          <a:extLst>
            <a:ext uri="{FF2B5EF4-FFF2-40B4-BE49-F238E27FC236}">
              <a16:creationId xmlns:a16="http://schemas.microsoft.com/office/drawing/2014/main" id="{4FF3CDD4-4333-9CB6-A874-0A131E37A4A3}"/>
            </a:ext>
          </a:extLst>
        </xdr:cNvPr>
        <xdr:cNvPicPr>
          <a:picLocks noChangeAspect="1"/>
        </xdr:cNvPicPr>
      </xdr:nvPicPr>
      <xdr:blipFill>
        <a:blip xmlns:r="http://schemas.openxmlformats.org/officeDocument/2006/relationships" r:embed="rId1">
          <a:clrChange>
            <a:clrFrom>
              <a:srgbClr val="F8F4F1"/>
            </a:clrFrom>
            <a:clrTo>
              <a:srgbClr val="F8F4F1">
                <a:alpha val="0"/>
              </a:srgbClr>
            </a:clrTo>
          </a:clrChange>
        </a:blip>
        <a:stretch>
          <a:fillRect/>
        </a:stretch>
      </xdr:blipFill>
      <xdr:spPr>
        <a:xfrm>
          <a:off x="6381750" y="2838450"/>
          <a:ext cx="1228896" cy="657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3:R33"/>
  <sheetViews>
    <sheetView workbookViewId="0">
      <selection activeCell="J29" sqref="J29"/>
    </sheetView>
  </sheetViews>
  <sheetFormatPr defaultRowHeight="15"/>
  <cols>
    <col min="9" max="9" width="12.28515625" bestFit="1" customWidth="1"/>
  </cols>
  <sheetData>
    <row r="3" spans="9:18" ht="15.75" thickBot="1">
      <c r="I3" s="4" t="s">
        <v>0</v>
      </c>
      <c r="J3" s="1" t="s">
        <v>2</v>
      </c>
    </row>
    <row r="6" spans="9:18" ht="15.75" thickBot="1">
      <c r="I6" s="5" t="s">
        <v>1</v>
      </c>
      <c r="J6" s="1" t="s">
        <v>3</v>
      </c>
    </row>
    <row r="8" spans="9:18">
      <c r="J8" t="s">
        <v>4</v>
      </c>
      <c r="R8">
        <f ca="1">RANDBETWEEN(1,6)</f>
        <v>2</v>
      </c>
    </row>
    <row r="9" spans="9:18">
      <c r="J9" t="s">
        <v>5</v>
      </c>
    </row>
    <row r="10" spans="9:18">
      <c r="J10" t="s">
        <v>6</v>
      </c>
    </row>
    <row r="12" spans="9:18">
      <c r="J12" s="1" t="s">
        <v>7</v>
      </c>
    </row>
    <row r="13" spans="9:18">
      <c r="J13" t="s">
        <v>23</v>
      </c>
    </row>
    <row r="18" spans="10:14">
      <c r="J18" t="s">
        <v>8</v>
      </c>
    </row>
    <row r="19" spans="10:14">
      <c r="J19" t="s">
        <v>9</v>
      </c>
    </row>
    <row r="20" spans="10:14">
      <c r="J20" t="s">
        <v>10</v>
      </c>
    </row>
    <row r="22" spans="10:14">
      <c r="J22" s="1" t="s">
        <v>11</v>
      </c>
    </row>
    <row r="24" spans="10:14">
      <c r="J24" s="2" t="s">
        <v>12</v>
      </c>
      <c r="N24" s="2">
        <f>_xlfn.BINOM.DIST(5, 30, 1/6, FALSE)</f>
        <v>0.19210813105163416</v>
      </c>
    </row>
    <row r="25" spans="10:14">
      <c r="J25" s="3" t="s">
        <v>13</v>
      </c>
    </row>
    <row r="26" spans="10:14">
      <c r="J26" s="3" t="s">
        <v>14</v>
      </c>
    </row>
    <row r="27" spans="10:14">
      <c r="J27" s="3" t="s">
        <v>15</v>
      </c>
    </row>
    <row r="28" spans="10:14">
      <c r="J28" s="3" t="s">
        <v>16</v>
      </c>
    </row>
    <row r="30" spans="10:14">
      <c r="J30" s="1" t="s">
        <v>17</v>
      </c>
    </row>
    <row r="31" spans="10:14">
      <c r="J31" t="s">
        <v>18</v>
      </c>
    </row>
    <row r="32" spans="10:14">
      <c r="J32" t="s">
        <v>19</v>
      </c>
    </row>
    <row r="33" spans="10:10">
      <c r="J33"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8B52-680E-4771-87DD-3B6045CD27DE}">
  <dimension ref="A1:G100"/>
  <sheetViews>
    <sheetView zoomScale="115" zoomScaleNormal="115" workbookViewId="0">
      <selection activeCell="F6" sqref="F6"/>
    </sheetView>
  </sheetViews>
  <sheetFormatPr defaultRowHeight="15"/>
  <cols>
    <col min="6" max="6" width="12.28515625" bestFit="1" customWidth="1"/>
  </cols>
  <sheetData>
    <row r="1" spans="1:7">
      <c r="A1" s="6">
        <f ca="1">RAND()</f>
        <v>0.81813385196887256</v>
      </c>
    </row>
    <row r="2" spans="1:7">
      <c r="A2" s="6">
        <f t="shared" ref="A2:A65" ca="1" si="0">RAND()</f>
        <v>0.86675775887780038</v>
      </c>
    </row>
    <row r="3" spans="1:7" ht="15.75" thickBot="1">
      <c r="A3" s="6">
        <f t="shared" ca="1" si="0"/>
        <v>0.5873988697618705</v>
      </c>
      <c r="F3" s="4" t="s">
        <v>21</v>
      </c>
      <c r="G3" s="1" t="s">
        <v>22</v>
      </c>
    </row>
    <row r="4" spans="1:7">
      <c r="A4" s="6">
        <f t="shared" ca="1" si="0"/>
        <v>0.8695503079944189</v>
      </c>
    </row>
    <row r="5" spans="1:7">
      <c r="A5" s="6">
        <f t="shared" ca="1" si="0"/>
        <v>0.29476520807069728</v>
      </c>
    </row>
    <row r="6" spans="1:7" ht="15.75" thickBot="1">
      <c r="A6" s="6">
        <f t="shared" ca="1" si="0"/>
        <v>0.37545205989669017</v>
      </c>
      <c r="F6" s="5" t="s">
        <v>1</v>
      </c>
      <c r="G6" s="1" t="s">
        <v>24</v>
      </c>
    </row>
    <row r="7" spans="1:7">
      <c r="A7" s="6">
        <f t="shared" ca="1" si="0"/>
        <v>0.91545722846626842</v>
      </c>
      <c r="G7" s="1" t="s">
        <v>25</v>
      </c>
    </row>
    <row r="8" spans="1:7">
      <c r="A8" s="6">
        <f t="shared" ca="1" si="0"/>
        <v>0.89596373103186822</v>
      </c>
      <c r="G8" s="1" t="s">
        <v>26</v>
      </c>
    </row>
    <row r="9" spans="1:7">
      <c r="A9" s="6">
        <f t="shared" ca="1" si="0"/>
        <v>0.39335149650187951</v>
      </c>
      <c r="G9" s="1" t="s">
        <v>27</v>
      </c>
    </row>
    <row r="10" spans="1:7">
      <c r="A10" s="6">
        <f t="shared" ca="1" si="0"/>
        <v>0.82937389702190745</v>
      </c>
    </row>
    <row r="11" spans="1:7">
      <c r="A11" s="6">
        <f t="shared" ca="1" si="0"/>
        <v>0.35156149814909643</v>
      </c>
    </row>
    <row r="12" spans="1:7">
      <c r="A12" s="6">
        <f t="shared" ca="1" si="0"/>
        <v>0.40708899263255183</v>
      </c>
    </row>
    <row r="13" spans="1:7">
      <c r="A13" s="6">
        <f t="shared" ca="1" si="0"/>
        <v>0.40240762902280225</v>
      </c>
    </row>
    <row r="14" spans="1:7">
      <c r="A14" s="6">
        <f t="shared" ca="1" si="0"/>
        <v>0.1817725552058751</v>
      </c>
    </row>
    <row r="15" spans="1:7">
      <c r="A15" s="6">
        <f t="shared" ca="1" si="0"/>
        <v>0.25235708574209637</v>
      </c>
    </row>
    <row r="16" spans="1:7">
      <c r="A16" s="6">
        <f t="shared" ca="1" si="0"/>
        <v>0.16290602327385173</v>
      </c>
    </row>
    <row r="17" spans="1:7">
      <c r="A17" s="6">
        <f t="shared" ca="1" si="0"/>
        <v>0.59090959780725449</v>
      </c>
    </row>
    <row r="18" spans="1:7">
      <c r="A18" s="6">
        <f t="shared" ca="1" si="0"/>
        <v>0.54022871940926698</v>
      </c>
    </row>
    <row r="19" spans="1:7">
      <c r="A19" s="6">
        <f t="shared" ca="1" si="0"/>
        <v>0.50581370770606537</v>
      </c>
    </row>
    <row r="20" spans="1:7">
      <c r="A20" s="6">
        <f t="shared" ca="1" si="0"/>
        <v>0.46313232770961099</v>
      </c>
    </row>
    <row r="21" spans="1:7">
      <c r="A21" s="6">
        <f t="shared" ca="1" si="0"/>
        <v>0.9409004233770446</v>
      </c>
    </row>
    <row r="22" spans="1:7">
      <c r="A22" s="6">
        <f t="shared" ca="1" si="0"/>
        <v>0.14425583355584071</v>
      </c>
    </row>
    <row r="23" spans="1:7">
      <c r="A23" s="6">
        <f t="shared" ca="1" si="0"/>
        <v>0.91669622287700303</v>
      </c>
    </row>
    <row r="24" spans="1:7">
      <c r="A24" s="6">
        <f t="shared" ca="1" si="0"/>
        <v>0.83019719358567012</v>
      </c>
    </row>
    <row r="25" spans="1:7">
      <c r="A25" s="6">
        <f t="shared" ca="1" si="0"/>
        <v>0.99317896164050368</v>
      </c>
    </row>
    <row r="26" spans="1:7">
      <c r="A26" s="6">
        <f t="shared" ca="1" si="0"/>
        <v>0.69203678211865549</v>
      </c>
    </row>
    <row r="27" spans="1:7">
      <c r="A27" s="6">
        <f t="shared" ca="1" si="0"/>
        <v>0.54614619466586667</v>
      </c>
      <c r="G27" s="1" t="s">
        <v>28</v>
      </c>
    </row>
    <row r="28" spans="1:7">
      <c r="A28" s="6">
        <f t="shared" ca="1" si="0"/>
        <v>0.5888307503589828</v>
      </c>
      <c r="G28" s="1" t="s">
        <v>29</v>
      </c>
    </row>
    <row r="29" spans="1:7">
      <c r="A29" s="6">
        <f t="shared" ca="1" si="0"/>
        <v>0.31866297543153643</v>
      </c>
      <c r="G29" s="1" t="s">
        <v>30</v>
      </c>
    </row>
    <row r="30" spans="1:7">
      <c r="A30" s="6">
        <f t="shared" ca="1" si="0"/>
        <v>0.10262670292488174</v>
      </c>
    </row>
    <row r="31" spans="1:7">
      <c r="A31" s="6">
        <f t="shared" ca="1" si="0"/>
        <v>0.63015894001951367</v>
      </c>
    </row>
    <row r="32" spans="1:7">
      <c r="A32" s="6">
        <f t="shared" ca="1" si="0"/>
        <v>0.79954096339799419</v>
      </c>
    </row>
    <row r="33" spans="1:1">
      <c r="A33" s="6">
        <f t="shared" ca="1" si="0"/>
        <v>3.5272962683173925E-2</v>
      </c>
    </row>
    <row r="34" spans="1:1">
      <c r="A34" s="6">
        <f t="shared" ca="1" si="0"/>
        <v>0.31724305605264125</v>
      </c>
    </row>
    <row r="35" spans="1:1">
      <c r="A35" s="6">
        <f t="shared" ca="1" si="0"/>
        <v>0.88580172332035823</v>
      </c>
    </row>
    <row r="36" spans="1:1">
      <c r="A36" s="6">
        <f t="shared" ca="1" si="0"/>
        <v>0.90461434819429465</v>
      </c>
    </row>
    <row r="37" spans="1:1">
      <c r="A37" s="6">
        <f t="shared" ca="1" si="0"/>
        <v>0.28526232014322106</v>
      </c>
    </row>
    <row r="38" spans="1:1">
      <c r="A38" s="6">
        <f t="shared" ca="1" si="0"/>
        <v>0.34534280569316977</v>
      </c>
    </row>
    <row r="39" spans="1:1">
      <c r="A39" s="6">
        <f t="shared" ca="1" si="0"/>
        <v>0.69269820066653087</v>
      </c>
    </row>
    <row r="40" spans="1:1">
      <c r="A40" s="6">
        <f t="shared" ca="1" si="0"/>
        <v>6.5241722700745686E-2</v>
      </c>
    </row>
    <row r="41" spans="1:1">
      <c r="A41" s="6">
        <f t="shared" ca="1" si="0"/>
        <v>0.97085452157501773</v>
      </c>
    </row>
    <row r="42" spans="1:1">
      <c r="A42" s="6">
        <f t="shared" ca="1" si="0"/>
        <v>0.14012537181175944</v>
      </c>
    </row>
    <row r="43" spans="1:1">
      <c r="A43" s="6">
        <f t="shared" ca="1" si="0"/>
        <v>0.8021177284442973</v>
      </c>
    </row>
    <row r="44" spans="1:1">
      <c r="A44" s="6">
        <f t="shared" ca="1" si="0"/>
        <v>0.69052198506083673</v>
      </c>
    </row>
    <row r="45" spans="1:1">
      <c r="A45" s="6">
        <f t="shared" ca="1" si="0"/>
        <v>0.17691901512272667</v>
      </c>
    </row>
    <row r="46" spans="1:1">
      <c r="A46" s="6">
        <f t="shared" ca="1" si="0"/>
        <v>0.97334506846454727</v>
      </c>
    </row>
    <row r="47" spans="1:1">
      <c r="A47" s="6">
        <f t="shared" ca="1" si="0"/>
        <v>0.33665015051963953</v>
      </c>
    </row>
    <row r="48" spans="1:1">
      <c r="A48" s="6">
        <f t="shared" ca="1" si="0"/>
        <v>0.20481593440391332</v>
      </c>
    </row>
    <row r="49" spans="1:1">
      <c r="A49" s="6">
        <f t="shared" ca="1" si="0"/>
        <v>0.6647154749745271</v>
      </c>
    </row>
    <row r="50" spans="1:1">
      <c r="A50" s="6">
        <f t="shared" ca="1" si="0"/>
        <v>0.80998212622463872</v>
      </c>
    </row>
    <row r="51" spans="1:1">
      <c r="A51" s="6">
        <f t="shared" ca="1" si="0"/>
        <v>0.68432810586113035</v>
      </c>
    </row>
    <row r="52" spans="1:1">
      <c r="A52" s="6">
        <f t="shared" ca="1" si="0"/>
        <v>0.66028910422647258</v>
      </c>
    </row>
    <row r="53" spans="1:1">
      <c r="A53" s="6">
        <f t="shared" ca="1" si="0"/>
        <v>1.1095565572759591E-2</v>
      </c>
    </row>
    <row r="54" spans="1:1">
      <c r="A54" s="6">
        <f t="shared" ca="1" si="0"/>
        <v>0.66988710959407749</v>
      </c>
    </row>
    <row r="55" spans="1:1">
      <c r="A55" s="6">
        <f t="shared" ca="1" si="0"/>
        <v>0.95831460383563627</v>
      </c>
    </row>
    <row r="56" spans="1:1">
      <c r="A56" s="6">
        <f t="shared" ca="1" si="0"/>
        <v>0.47215709462860622</v>
      </c>
    </row>
    <row r="57" spans="1:1">
      <c r="A57" s="6">
        <f t="shared" ca="1" si="0"/>
        <v>0.31644129573204438</v>
      </c>
    </row>
    <row r="58" spans="1:1">
      <c r="A58" s="6">
        <f t="shared" ca="1" si="0"/>
        <v>0.83901621206456156</v>
      </c>
    </row>
    <row r="59" spans="1:1">
      <c r="A59" s="6">
        <f t="shared" ca="1" si="0"/>
        <v>8.5180597255146484E-2</v>
      </c>
    </row>
    <row r="60" spans="1:1">
      <c r="A60" s="6">
        <f t="shared" ca="1" si="0"/>
        <v>0.28574807339911024</v>
      </c>
    </row>
    <row r="61" spans="1:1">
      <c r="A61" s="6">
        <f t="shared" ca="1" si="0"/>
        <v>0.78898673732799107</v>
      </c>
    </row>
    <row r="62" spans="1:1">
      <c r="A62" s="6">
        <f t="shared" ca="1" si="0"/>
        <v>7.5915564595396501E-2</v>
      </c>
    </row>
    <row r="63" spans="1:1">
      <c r="A63" s="6">
        <f t="shared" ca="1" si="0"/>
        <v>0.3136699399367624</v>
      </c>
    </row>
    <row r="64" spans="1:1">
      <c r="A64" s="6">
        <f t="shared" ca="1" si="0"/>
        <v>0.24378681070375541</v>
      </c>
    </row>
    <row r="65" spans="1:1">
      <c r="A65" s="6">
        <f t="shared" ca="1" si="0"/>
        <v>0.75241882858923859</v>
      </c>
    </row>
    <row r="66" spans="1:1">
      <c r="A66" s="6">
        <f t="shared" ref="A66:A100" ca="1" si="1">RAND()</f>
        <v>0.98090065172031482</v>
      </c>
    </row>
    <row r="67" spans="1:1">
      <c r="A67" s="6">
        <f t="shared" ca="1" si="1"/>
        <v>0.60682955946743666</v>
      </c>
    </row>
    <row r="68" spans="1:1">
      <c r="A68" s="6">
        <f t="shared" ca="1" si="1"/>
        <v>6.2487652679398487E-2</v>
      </c>
    </row>
    <row r="69" spans="1:1">
      <c r="A69" s="6">
        <f t="shared" ca="1" si="1"/>
        <v>0.63635982414632419</v>
      </c>
    </row>
    <row r="70" spans="1:1">
      <c r="A70" s="6">
        <f t="shared" ca="1" si="1"/>
        <v>0.90661269713021253</v>
      </c>
    </row>
    <row r="71" spans="1:1">
      <c r="A71" s="6">
        <f t="shared" ca="1" si="1"/>
        <v>0.4008713117404803</v>
      </c>
    </row>
    <row r="72" spans="1:1">
      <c r="A72" s="6">
        <f t="shared" ca="1" si="1"/>
        <v>0.10968221027132918</v>
      </c>
    </row>
    <row r="73" spans="1:1">
      <c r="A73" s="6">
        <f t="shared" ca="1" si="1"/>
        <v>0.67506488048707436</v>
      </c>
    </row>
    <row r="74" spans="1:1">
      <c r="A74" s="6">
        <f t="shared" ca="1" si="1"/>
        <v>0.14420078160256966</v>
      </c>
    </row>
    <row r="75" spans="1:1">
      <c r="A75" s="6">
        <f t="shared" ca="1" si="1"/>
        <v>0.6997474563497269</v>
      </c>
    </row>
    <row r="76" spans="1:1">
      <c r="A76" s="6">
        <f t="shared" ca="1" si="1"/>
        <v>0.69973070709939866</v>
      </c>
    </row>
    <row r="77" spans="1:1">
      <c r="A77" s="6">
        <f t="shared" ca="1" si="1"/>
        <v>0.70462449377855163</v>
      </c>
    </row>
    <row r="78" spans="1:1">
      <c r="A78" s="6">
        <f t="shared" ca="1" si="1"/>
        <v>0.32410668361939865</v>
      </c>
    </row>
    <row r="79" spans="1:1">
      <c r="A79" s="6">
        <f t="shared" ca="1" si="1"/>
        <v>0.2766410162575651</v>
      </c>
    </row>
    <row r="80" spans="1:1">
      <c r="A80" s="6">
        <f t="shared" ca="1" si="1"/>
        <v>0.58260604018460838</v>
      </c>
    </row>
    <row r="81" spans="1:1">
      <c r="A81" s="6">
        <f t="shared" ca="1" si="1"/>
        <v>0.16895867536228781</v>
      </c>
    </row>
    <row r="82" spans="1:1">
      <c r="A82" s="6">
        <f t="shared" ca="1" si="1"/>
        <v>0.48433807213292379</v>
      </c>
    </row>
    <row r="83" spans="1:1">
      <c r="A83" s="6">
        <f t="shared" ca="1" si="1"/>
        <v>0.53214427749586934</v>
      </c>
    </row>
    <row r="84" spans="1:1">
      <c r="A84" s="6">
        <f t="shared" ca="1" si="1"/>
        <v>0.93919662422177097</v>
      </c>
    </row>
    <row r="85" spans="1:1">
      <c r="A85" s="6">
        <f t="shared" ca="1" si="1"/>
        <v>0.34909492400100839</v>
      </c>
    </row>
    <row r="86" spans="1:1">
      <c r="A86" s="6">
        <f t="shared" ca="1" si="1"/>
        <v>0.60541834933175509</v>
      </c>
    </row>
    <row r="87" spans="1:1">
      <c r="A87" s="6">
        <f t="shared" ca="1" si="1"/>
        <v>0.64660237353048811</v>
      </c>
    </row>
    <row r="88" spans="1:1">
      <c r="A88" s="6">
        <f t="shared" ca="1" si="1"/>
        <v>0.8611382961000652</v>
      </c>
    </row>
    <row r="89" spans="1:1">
      <c r="A89" s="6">
        <f t="shared" ca="1" si="1"/>
        <v>0.41889837047445255</v>
      </c>
    </row>
    <row r="90" spans="1:1">
      <c r="A90" s="6">
        <f t="shared" ca="1" si="1"/>
        <v>0.2198634692565381</v>
      </c>
    </row>
    <row r="91" spans="1:1">
      <c r="A91" s="6">
        <f t="shared" ca="1" si="1"/>
        <v>0.66711978126707083</v>
      </c>
    </row>
    <row r="92" spans="1:1">
      <c r="A92" s="6">
        <f t="shared" ca="1" si="1"/>
        <v>0.83032406701849915</v>
      </c>
    </row>
    <row r="93" spans="1:1">
      <c r="A93" s="6">
        <f t="shared" ca="1" si="1"/>
        <v>0.20684073100018419</v>
      </c>
    </row>
    <row r="94" spans="1:1">
      <c r="A94" s="6">
        <f t="shared" ca="1" si="1"/>
        <v>0.85721972068960717</v>
      </c>
    </row>
    <row r="95" spans="1:1">
      <c r="A95" s="6">
        <f t="shared" ca="1" si="1"/>
        <v>0.10404675215518366</v>
      </c>
    </row>
    <row r="96" spans="1:1">
      <c r="A96" s="6">
        <f t="shared" ca="1" si="1"/>
        <v>0.53184768659976966</v>
      </c>
    </row>
    <row r="97" spans="1:1">
      <c r="A97" s="6">
        <f t="shared" ca="1" si="1"/>
        <v>0.224252704064688</v>
      </c>
    </row>
    <row r="98" spans="1:1">
      <c r="A98" s="6">
        <f t="shared" ca="1" si="1"/>
        <v>0.61016514394973331</v>
      </c>
    </row>
    <row r="99" spans="1:1">
      <c r="A99" s="6">
        <f t="shared" ca="1" si="1"/>
        <v>0.72484334225318447</v>
      </c>
    </row>
    <row r="100" spans="1:1">
      <c r="A100" s="6">
        <f t="shared" ca="1" si="1"/>
        <v>0.52064759097868107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BB5D-E06F-4A99-94BB-B1A78FC447C4}">
  <dimension ref="I3:J32"/>
  <sheetViews>
    <sheetView workbookViewId="0">
      <selection activeCell="I6" sqref="I6"/>
    </sheetView>
  </sheetViews>
  <sheetFormatPr defaultRowHeight="15"/>
  <cols>
    <col min="9" max="9" width="12.28515625" bestFit="1" customWidth="1"/>
  </cols>
  <sheetData>
    <row r="3" spans="9:10" ht="18" thickBot="1">
      <c r="I3" s="4" t="s">
        <v>31</v>
      </c>
      <c r="J3" s="8" t="s">
        <v>32</v>
      </c>
    </row>
    <row r="6" spans="9:10" ht="17.25" thickBot="1">
      <c r="I6" s="5" t="s">
        <v>1</v>
      </c>
      <c r="J6" s="9" t="s">
        <v>33</v>
      </c>
    </row>
    <row r="8" spans="9:10" ht="17.25">
      <c r="J8" s="7" t="s">
        <v>34</v>
      </c>
    </row>
    <row r="11" spans="9:10">
      <c r="J11" t="s">
        <v>35</v>
      </c>
    </row>
    <row r="16" spans="9:10">
      <c r="J16" t="s">
        <v>36</v>
      </c>
    </row>
    <row r="19" spans="10:10">
      <c r="J19" t="s">
        <v>37</v>
      </c>
    </row>
    <row r="22" spans="10:10">
      <c r="J22" s="1" t="s">
        <v>38</v>
      </c>
    </row>
    <row r="24" spans="10:10">
      <c r="J24" t="s">
        <v>39</v>
      </c>
    </row>
    <row r="25" spans="10:10">
      <c r="J25" t="s">
        <v>40</v>
      </c>
    </row>
    <row r="28" spans="10:10">
      <c r="J28" s="1" t="s">
        <v>41</v>
      </c>
    </row>
    <row r="30" spans="10:10">
      <c r="J30" t="s">
        <v>42</v>
      </c>
    </row>
    <row r="32" spans="10:10" ht="17.25">
      <c r="J32" s="7" t="s">
        <v>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0CAB-8F7A-4725-8927-3FC8444EE00E}">
  <dimension ref="I3:J38"/>
  <sheetViews>
    <sheetView workbookViewId="0">
      <selection activeCell="I6" sqref="I6"/>
    </sheetView>
  </sheetViews>
  <sheetFormatPr defaultRowHeight="15"/>
  <cols>
    <col min="9" max="9" width="12.28515625" bestFit="1" customWidth="1"/>
    <col min="10" max="10" width="137.7109375" customWidth="1"/>
  </cols>
  <sheetData>
    <row r="3" spans="9:10" ht="35.25" thickBot="1">
      <c r="I3" s="17" t="s">
        <v>44</v>
      </c>
      <c r="J3" s="16" t="s">
        <v>45</v>
      </c>
    </row>
    <row r="6" spans="9:10" ht="52.5" thickBot="1">
      <c r="I6" s="12" t="s">
        <v>1</v>
      </c>
      <c r="J6" s="11" t="s">
        <v>46</v>
      </c>
    </row>
    <row r="8" spans="9:10" ht="17.25">
      <c r="J8" s="8" t="s">
        <v>47</v>
      </c>
    </row>
    <row r="12" spans="9:10" ht="18">
      <c r="J12" s="13" t="s">
        <v>48</v>
      </c>
    </row>
    <row r="13" spans="9:10" ht="18">
      <c r="J13" s="13" t="s">
        <v>49</v>
      </c>
    </row>
    <row r="14" spans="9:10" ht="18">
      <c r="J14" s="14" t="s">
        <v>50</v>
      </c>
    </row>
    <row r="15" spans="9:10" ht="34.5">
      <c r="J15" s="10" t="s">
        <v>51</v>
      </c>
    </row>
    <row r="17" spans="10:10" ht="17.25">
      <c r="J17" s="8" t="s">
        <v>52</v>
      </c>
    </row>
    <row r="19" spans="10:10" ht="17.25">
      <c r="J19" s="15" t="s">
        <v>53</v>
      </c>
    </row>
    <row r="20" spans="10:10" ht="34.5">
      <c r="J20" s="15" t="s">
        <v>54</v>
      </c>
    </row>
    <row r="21" spans="10:10" ht="34.5">
      <c r="J21" s="15" t="s">
        <v>55</v>
      </c>
    </row>
    <row r="23" spans="10:10" ht="17.25">
      <c r="J23" s="8" t="s">
        <v>56</v>
      </c>
    </row>
    <row r="25" spans="10:10" ht="17.25">
      <c r="J25" s="15" t="s">
        <v>57</v>
      </c>
    </row>
    <row r="27" spans="10:10" ht="34.5">
      <c r="J27" s="15" t="s">
        <v>58</v>
      </c>
    </row>
    <row r="28" spans="10:10" ht="17.25">
      <c r="J28" s="15"/>
    </row>
    <row r="29" spans="10:10" ht="34.5">
      <c r="J29" s="15" t="s">
        <v>59</v>
      </c>
    </row>
    <row r="30" spans="10:10" ht="17.25">
      <c r="J30" s="15"/>
    </row>
    <row r="31" spans="10:10" ht="17.25">
      <c r="J31" s="15"/>
    </row>
    <row r="32" spans="10:10" ht="17.25">
      <c r="J32" s="15"/>
    </row>
    <row r="33" spans="10:10" ht="17.25">
      <c r="J33" s="15"/>
    </row>
    <row r="34" spans="10:10" ht="17.25">
      <c r="J34" s="15"/>
    </row>
    <row r="35" spans="10:10" ht="17.25">
      <c r="J35" s="15"/>
    </row>
    <row r="36" spans="10:10" ht="17.25">
      <c r="J36" s="15"/>
    </row>
    <row r="37" spans="10:10" ht="17.25">
      <c r="J37" s="15"/>
    </row>
    <row r="38" spans="10:10" ht="17.25">
      <c r="J38" s="1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A05F-871F-46D2-BA00-D6BDECF3E152}">
  <dimension ref="I3:J44"/>
  <sheetViews>
    <sheetView workbookViewId="0">
      <selection activeCell="J3" sqref="J3"/>
    </sheetView>
  </sheetViews>
  <sheetFormatPr defaultRowHeight="15"/>
  <cols>
    <col min="9" max="9" width="12.28515625" bestFit="1" customWidth="1"/>
    <col min="10" max="10" width="130.85546875" customWidth="1"/>
  </cols>
  <sheetData>
    <row r="3" spans="9:10" ht="18" thickBot="1">
      <c r="I3" s="17" t="s">
        <v>60</v>
      </c>
      <c r="J3" s="18" t="s">
        <v>61</v>
      </c>
    </row>
    <row r="6" spans="9:10" ht="45.75" thickBot="1">
      <c r="I6" s="12" t="s">
        <v>1</v>
      </c>
      <c r="J6" s="19" t="s">
        <v>62</v>
      </c>
    </row>
    <row r="8" spans="9:10">
      <c r="I8" s="20" t="s">
        <v>72</v>
      </c>
      <c r="J8" s="1" t="s">
        <v>63</v>
      </c>
    </row>
    <row r="9" spans="9:10">
      <c r="I9" s="21" t="s">
        <v>74</v>
      </c>
      <c r="J9" t="s">
        <v>64</v>
      </c>
    </row>
    <row r="10" spans="9:10">
      <c r="I10" s="21" t="s">
        <v>74</v>
      </c>
      <c r="J10" t="s">
        <v>65</v>
      </c>
    </row>
    <row r="11" spans="9:10">
      <c r="I11" s="21" t="s">
        <v>74</v>
      </c>
      <c r="J11" t="s">
        <v>66</v>
      </c>
    </row>
    <row r="13" spans="9:10">
      <c r="I13" s="20" t="s">
        <v>72</v>
      </c>
      <c r="J13" s="1" t="s">
        <v>67</v>
      </c>
    </row>
    <row r="17" spans="9:10">
      <c r="J17" t="s">
        <v>68</v>
      </c>
    </row>
    <row r="19" spans="9:10">
      <c r="J19" s="1" t="s">
        <v>69</v>
      </c>
    </row>
    <row r="21" spans="9:10">
      <c r="I21" s="20" t="s">
        <v>72</v>
      </c>
      <c r="J21" s="1" t="s">
        <v>70</v>
      </c>
    </row>
    <row r="22" spans="9:10">
      <c r="I22" s="21" t="s">
        <v>74</v>
      </c>
      <c r="J22" t="s">
        <v>71</v>
      </c>
    </row>
    <row r="23" spans="9:10">
      <c r="I23" s="21" t="s">
        <v>74</v>
      </c>
      <c r="J23" s="1" t="s">
        <v>73</v>
      </c>
    </row>
    <row r="24" spans="9:10">
      <c r="I24" s="21" t="s">
        <v>74</v>
      </c>
      <c r="J24" t="s">
        <v>75</v>
      </c>
    </row>
    <row r="26" spans="9:10">
      <c r="I26" s="20" t="s">
        <v>72</v>
      </c>
      <c r="J26" s="1" t="s">
        <v>76</v>
      </c>
    </row>
    <row r="27" spans="9:10">
      <c r="I27" s="21" t="s">
        <v>74</v>
      </c>
      <c r="J27" t="s">
        <v>77</v>
      </c>
    </row>
    <row r="28" spans="9:10">
      <c r="I28" s="21" t="s">
        <v>74</v>
      </c>
      <c r="J28" t="s">
        <v>78</v>
      </c>
    </row>
    <row r="29" spans="9:10">
      <c r="I29" s="21" t="s">
        <v>74</v>
      </c>
      <c r="J29" s="1" t="s">
        <v>79</v>
      </c>
    </row>
    <row r="30" spans="9:10">
      <c r="I30" s="21" t="s">
        <v>74</v>
      </c>
      <c r="J30" t="s">
        <v>80</v>
      </c>
    </row>
    <row r="32" spans="9:10">
      <c r="I32" s="20" t="s">
        <v>72</v>
      </c>
      <c r="J32" s="1" t="s">
        <v>81</v>
      </c>
    </row>
    <row r="33" spans="9:10">
      <c r="I33" s="21" t="s">
        <v>74</v>
      </c>
      <c r="J33" t="s">
        <v>82</v>
      </c>
    </row>
    <row r="34" spans="9:10">
      <c r="I34" s="21" t="s">
        <v>74</v>
      </c>
      <c r="J34" t="s">
        <v>83</v>
      </c>
    </row>
    <row r="35" spans="9:10">
      <c r="I35" s="21" t="s">
        <v>74</v>
      </c>
      <c r="J35" s="1" t="s">
        <v>84</v>
      </c>
    </row>
    <row r="36" spans="9:10">
      <c r="I36" s="21" t="s">
        <v>74</v>
      </c>
      <c r="J36" t="s">
        <v>85</v>
      </c>
    </row>
    <row r="40" spans="9:10">
      <c r="I40" s="21" t="s">
        <v>74</v>
      </c>
      <c r="J40" s="1" t="s">
        <v>86</v>
      </c>
    </row>
    <row r="41" spans="9:10">
      <c r="I41" s="21" t="s">
        <v>74</v>
      </c>
      <c r="J41" s="1" t="s">
        <v>87</v>
      </c>
    </row>
    <row r="42" spans="9:10">
      <c r="I42" s="21" t="s">
        <v>74</v>
      </c>
      <c r="J42" s="1" t="s">
        <v>88</v>
      </c>
    </row>
    <row r="44" spans="9:10">
      <c r="J44" s="1" t="s">
        <v>89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B46C-1B91-43EE-BDFF-E712EC93E67E}">
  <dimension ref="I3:J27"/>
  <sheetViews>
    <sheetView workbookViewId="0">
      <selection activeCell="I6" sqref="I6"/>
    </sheetView>
  </sheetViews>
  <sheetFormatPr defaultRowHeight="15"/>
  <cols>
    <col min="9" max="9" width="12.28515625" bestFit="1" customWidth="1"/>
    <col min="10" max="10" width="119.5703125" customWidth="1"/>
  </cols>
  <sheetData>
    <row r="3" spans="9:10" ht="18" thickBot="1">
      <c r="I3" s="17" t="s">
        <v>90</v>
      </c>
      <c r="J3" s="18" t="s">
        <v>91</v>
      </c>
    </row>
    <row r="6" spans="9:10" ht="52.5" thickBot="1">
      <c r="I6" s="12" t="s">
        <v>1</v>
      </c>
      <c r="J6" s="22" t="s">
        <v>92</v>
      </c>
    </row>
    <row r="8" spans="9:10">
      <c r="J8" s="1" t="s">
        <v>94</v>
      </c>
    </row>
    <row r="11" spans="9:10">
      <c r="J11" t="s">
        <v>96</v>
      </c>
    </row>
    <row r="12" spans="9:10">
      <c r="J12" t="s">
        <v>95</v>
      </c>
    </row>
    <row r="15" spans="9:10" ht="17.25">
      <c r="J15" s="18" t="s">
        <v>97</v>
      </c>
    </row>
    <row r="16" spans="9:10">
      <c r="J16" t="s">
        <v>98</v>
      </c>
    </row>
    <row r="18" spans="10:10">
      <c r="J18" t="s">
        <v>99</v>
      </c>
    </row>
    <row r="20" spans="10:10">
      <c r="J20" t="s">
        <v>100</v>
      </c>
    </row>
    <row r="22" spans="10:10" ht="17.25">
      <c r="J22" s="18" t="s">
        <v>93</v>
      </c>
    </row>
    <row r="23" spans="10:10" ht="30">
      <c r="J23" s="19" t="s">
        <v>101</v>
      </c>
    </row>
    <row r="25" spans="10:10" ht="30">
      <c r="J25" s="19" t="s">
        <v>102</v>
      </c>
    </row>
    <row r="27" spans="10:10" ht="30">
      <c r="J27" s="19" t="s">
        <v>103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8DB4-2366-4723-A1D3-38386CE09375}">
  <dimension ref="I2:J23"/>
  <sheetViews>
    <sheetView workbookViewId="0">
      <selection activeCell="I5" sqref="I5"/>
    </sheetView>
  </sheetViews>
  <sheetFormatPr defaultRowHeight="15"/>
  <cols>
    <col min="9" max="9" width="12.28515625" bestFit="1" customWidth="1"/>
    <col min="10" max="10" width="127.28515625" customWidth="1"/>
  </cols>
  <sheetData>
    <row r="2" spans="9:10" ht="24" customHeight="1" thickBot="1">
      <c r="I2" s="17" t="s">
        <v>104</v>
      </c>
      <c r="J2" s="23" t="s">
        <v>105</v>
      </c>
    </row>
    <row r="5" spans="9:10" ht="15.75" thickBot="1">
      <c r="I5" s="12" t="s">
        <v>1</v>
      </c>
      <c r="J5" t="s">
        <v>106</v>
      </c>
    </row>
    <row r="6" spans="9:10">
      <c r="J6" t="s">
        <v>107</v>
      </c>
    </row>
    <row r="8" spans="9:10">
      <c r="J8" t="s">
        <v>108</v>
      </c>
    </row>
    <row r="10" spans="9:10">
      <c r="J10" s="1" t="s">
        <v>109</v>
      </c>
    </row>
    <row r="11" spans="9:10">
      <c r="J11" t="s">
        <v>110</v>
      </c>
    </row>
    <row r="13" spans="9:10">
      <c r="I13" s="20" t="s">
        <v>74</v>
      </c>
      <c r="J13" s="3" t="s">
        <v>111</v>
      </c>
    </row>
    <row r="14" spans="9:10">
      <c r="I14" s="20" t="s">
        <v>74</v>
      </c>
      <c r="J14" s="3" t="s">
        <v>112</v>
      </c>
    </row>
    <row r="15" spans="9:10">
      <c r="I15" s="20" t="s">
        <v>74</v>
      </c>
      <c r="J15" s="3" t="s">
        <v>113</v>
      </c>
    </row>
    <row r="16" spans="9:10">
      <c r="I16" s="20" t="s">
        <v>74</v>
      </c>
      <c r="J16" s="3" t="s">
        <v>114</v>
      </c>
    </row>
    <row r="18" spans="9:10">
      <c r="J18" s="1" t="s">
        <v>115</v>
      </c>
    </row>
    <row r="20" spans="9:10">
      <c r="J20" t="s">
        <v>116</v>
      </c>
    </row>
    <row r="21" spans="9:10">
      <c r="J21" t="s">
        <v>117</v>
      </c>
    </row>
    <row r="22" spans="9:10">
      <c r="I22" s="1" t="s">
        <v>119</v>
      </c>
      <c r="J22" s="2" t="s">
        <v>118</v>
      </c>
    </row>
    <row r="23" spans="9:10">
      <c r="I23" s="1" t="s">
        <v>120</v>
      </c>
      <c r="J23" s="24">
        <f>1-_xlfn.BINOM.DIST(7,15,0.5,TRUE)</f>
        <v>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D87D-0F5A-4B21-9E9E-91E4395310A2}">
  <dimension ref="I2:J42"/>
  <sheetViews>
    <sheetView tabSelected="1" workbookViewId="0">
      <selection activeCell="E17" sqref="E17"/>
    </sheetView>
  </sheetViews>
  <sheetFormatPr defaultRowHeight="15"/>
  <cols>
    <col min="9" max="9" width="12.28515625" bestFit="1" customWidth="1"/>
    <col min="10" max="10" width="119.140625" customWidth="1"/>
  </cols>
  <sheetData>
    <row r="2" spans="9:10" ht="18" thickBot="1">
      <c r="I2" s="17" t="s">
        <v>121</v>
      </c>
      <c r="J2" s="23" t="s">
        <v>122</v>
      </c>
    </row>
    <row r="4" spans="9:10" ht="30.75" thickBot="1">
      <c r="I4" s="12" t="s">
        <v>1</v>
      </c>
      <c r="J4" s="25" t="s">
        <v>123</v>
      </c>
    </row>
    <row r="6" spans="9:10">
      <c r="I6" s="20" t="s">
        <v>72</v>
      </c>
      <c r="J6" s="1" t="s">
        <v>124</v>
      </c>
    </row>
    <row r="8" spans="9:10">
      <c r="I8" s="20" t="s">
        <v>74</v>
      </c>
      <c r="J8" t="s">
        <v>125</v>
      </c>
    </row>
    <row r="9" spans="9:10" ht="30">
      <c r="I9" s="20" t="s">
        <v>74</v>
      </c>
      <c r="J9" s="19" t="s">
        <v>126</v>
      </c>
    </row>
    <row r="10" spans="9:10">
      <c r="I10" s="20" t="s">
        <v>74</v>
      </c>
      <c r="J10" t="s">
        <v>127</v>
      </c>
    </row>
    <row r="12" spans="9:10">
      <c r="I12" s="20" t="s">
        <v>72</v>
      </c>
      <c r="J12" s="1" t="s">
        <v>128</v>
      </c>
    </row>
    <row r="14" spans="9:10">
      <c r="J14" s="1" t="s">
        <v>94</v>
      </c>
    </row>
    <row r="17" spans="9:10">
      <c r="J17" t="s">
        <v>129</v>
      </c>
    </row>
    <row r="19" spans="9:10">
      <c r="I19" s="20" t="s">
        <v>72</v>
      </c>
      <c r="J19" s="1" t="s">
        <v>130</v>
      </c>
    </row>
    <row r="20" spans="9:10">
      <c r="I20" s="20" t="s">
        <v>74</v>
      </c>
      <c r="J20" t="s">
        <v>131</v>
      </c>
    </row>
    <row r="21" spans="9:10">
      <c r="I21" s="20" t="s">
        <v>74</v>
      </c>
      <c r="J21" t="s">
        <v>132</v>
      </c>
    </row>
    <row r="22" spans="9:10">
      <c r="I22" s="20" t="s">
        <v>74</v>
      </c>
      <c r="J22" t="s">
        <v>133</v>
      </c>
    </row>
    <row r="24" spans="9:10">
      <c r="I24" s="20" t="s">
        <v>72</v>
      </c>
      <c r="J24" s="1" t="s">
        <v>134</v>
      </c>
    </row>
    <row r="25" spans="9:10">
      <c r="I25" s="20" t="s">
        <v>74</v>
      </c>
      <c r="J25" t="s">
        <v>135</v>
      </c>
    </row>
    <row r="26" spans="9:10">
      <c r="I26" s="20" t="s">
        <v>74</v>
      </c>
      <c r="J26" t="s">
        <v>136</v>
      </c>
    </row>
    <row r="27" spans="9:10">
      <c r="I27" s="20" t="s">
        <v>74</v>
      </c>
      <c r="J27" t="s">
        <v>137</v>
      </c>
    </row>
    <row r="29" spans="9:10">
      <c r="J29" s="1" t="s">
        <v>138</v>
      </c>
    </row>
    <row r="31" spans="9:10">
      <c r="I31" s="20" t="s">
        <v>74</v>
      </c>
      <c r="J31" t="s">
        <v>141</v>
      </c>
    </row>
    <row r="32" spans="9:10">
      <c r="I32" s="20" t="s">
        <v>74</v>
      </c>
      <c r="J32" t="s">
        <v>139</v>
      </c>
    </row>
    <row r="33" spans="9:10">
      <c r="I33" s="20" t="s">
        <v>74</v>
      </c>
      <c r="J33" t="s">
        <v>140</v>
      </c>
    </row>
    <row r="34" spans="9:10">
      <c r="J34" t="s">
        <v>142</v>
      </c>
    </row>
    <row r="35" spans="9:10">
      <c r="J35" t="s">
        <v>143</v>
      </c>
    </row>
    <row r="36" spans="9:10">
      <c r="J36" t="s">
        <v>144</v>
      </c>
    </row>
    <row r="38" spans="9:10">
      <c r="I38" s="20" t="s">
        <v>72</v>
      </c>
      <c r="J38" s="1" t="s">
        <v>145</v>
      </c>
    </row>
    <row r="39" spans="9:10">
      <c r="I39" s="20" t="s">
        <v>74</v>
      </c>
      <c r="J39" s="1" t="s">
        <v>146</v>
      </c>
    </row>
    <row r="40" spans="9:10">
      <c r="I40" s="20" t="s">
        <v>74</v>
      </c>
      <c r="J40" s="1" t="s">
        <v>147</v>
      </c>
    </row>
    <row r="41" spans="9:10">
      <c r="I41" s="20" t="s">
        <v>74</v>
      </c>
      <c r="J41" s="1" t="s">
        <v>148</v>
      </c>
    </row>
    <row r="42" spans="9:10">
      <c r="I42" s="20" t="s">
        <v>74</v>
      </c>
      <c r="J42" s="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QUEST_01</vt:lpstr>
      <vt:lpstr>QUEST_02</vt:lpstr>
      <vt:lpstr>QUEST_03</vt:lpstr>
      <vt:lpstr>QUEST_04</vt:lpstr>
      <vt:lpstr>QUEST_05</vt:lpstr>
      <vt:lpstr>QUEST_06</vt:lpstr>
      <vt:lpstr>QUEST_07</vt:lpstr>
      <vt:lpstr>QUEST_08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Karaira</dc:creator>
  <cp:lastModifiedBy>MIS</cp:lastModifiedBy>
  <dcterms:created xsi:type="dcterms:W3CDTF">2015-06-05T18:17:20Z</dcterms:created>
  <dcterms:modified xsi:type="dcterms:W3CDTF">2025-11-13T12:04:06Z</dcterms:modified>
</cp:coreProperties>
</file>